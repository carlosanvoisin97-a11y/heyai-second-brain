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rlosanvoisin/Downloads/"/>
    </mc:Choice>
  </mc:AlternateContent>
  <xr:revisionPtr revIDLastSave="0" documentId="8_{D7E4F0BB-221C-DC4F-B286-14FA3FECE95C}" xr6:coauthVersionLast="47" xr6:coauthVersionMax="47" xr10:uidLastSave="{00000000-0000-0000-0000-000000000000}"/>
  <bookViews>
    <workbookView xWindow="0" yWindow="600" windowWidth="28800" windowHeight="16260" tabRatio="500" xr2:uid="{00000000-000D-0000-FFFF-FFFF00000000}"/>
  </bookViews>
  <sheets>
    <sheet name="Stima per area di lavoro" sheetId="2" r:id="rId1"/>
    <sheet name="Add-on opzionali" sheetId="3"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0" i="3" l="1"/>
  <c r="D76" i="2"/>
  <c r="E76" i="2" s="1"/>
  <c r="F12" i="2"/>
  <c r="E43" i="2"/>
  <c r="D66" i="3"/>
  <c r="D53" i="3"/>
  <c r="D39" i="3"/>
  <c r="D26" i="3"/>
  <c r="D15" i="3"/>
  <c r="E55" i="3" l="1"/>
  <c r="E58" i="2"/>
  <c r="E72" i="2" l="1"/>
  <c r="E31" i="2"/>
  <c r="F31" i="2" s="1"/>
  <c r="F43" i="2" s="1"/>
  <c r="F58" i="2" s="1"/>
  <c r="F72" i="2" s="1"/>
  <c r="E17" i="3"/>
  <c r="D75" i="2"/>
  <c r="E41" i="3"/>
  <c r="E69" i="3"/>
  <c r="E7" i="3"/>
  <c r="E28" i="3"/>
  <c r="E75" i="2" l="1"/>
  <c r="F75" i="2" s="1"/>
  <c r="F76" i="2" s="1"/>
</calcChain>
</file>

<file path=xl/sharedStrings.xml><?xml version="1.0" encoding="utf-8"?>
<sst xmlns="http://schemas.openxmlformats.org/spreadsheetml/2006/main" count="225" uniqueCount="165">
  <si>
    <t>Importo</t>
  </si>
  <si>
    <t>4.1</t>
  </si>
  <si>
    <t>4.2</t>
  </si>
  <si>
    <t>4.3</t>
  </si>
  <si>
    <t>4.4</t>
  </si>
  <si>
    <t>4.5</t>
  </si>
  <si>
    <t>Stima per area di lavoro</t>
  </si>
  <si>
    <t>Stima bottom-up del perimetro. Le giornate sono input editabili (in giallo): modificandole, tutti i totali e gli importi nei fogli si ricalcolano.</t>
  </si>
  <si>
    <t>Base — Tool funzionale (perimetro originale, single-tenant)</t>
  </si>
  <si>
    <t>Funzionalità core del prodotto secondo brief: ingestione fonti, classificazione, agente AI, scoring, dashboard, sicurezza essenziale. Senza questo strato funzionale i tier successivi non hanno fondamenta.</t>
  </si>
  <si>
    <t>Area</t>
  </si>
  <si>
    <t>Attività</t>
  </si>
  <si>
    <t>Classificazione</t>
  </si>
  <si>
    <t>Totale base</t>
  </si>
  <si>
    <t>Tier 1 — Trasformazione in piattaforma multi-tenant</t>
  </si>
  <si>
    <t>Conversione del tool in SaaS multi-tenant gestito a mano dal titolare: 1 utenza per azienda cliente, creazione/sospensione manuale via pannello admin, pagamenti e fatturazione fuori applicazione. Comprende il refactoring dell'esistente per garantire la segregazione dei dati.</t>
  </si>
  <si>
    <t>Architettura multi-tenant</t>
  </si>
  <si>
    <t>Refactoring del data layer con tenant_id pervasivo, segregazione completa.</t>
  </si>
  <si>
    <t>Isolamento delle code di lavoro AI e dei job batch per tenant.</t>
  </si>
  <si>
    <t>Identità e accessi</t>
  </si>
  <si>
    <t>Login con MFA attivabile (TOTP).</t>
  </si>
  <si>
    <t>Workflow recupero password via email con token a scadenza.</t>
  </si>
  <si>
    <t>Gestione sicura sessioni, refresh token, logout multi-dispositivo.</t>
  </si>
  <si>
    <t>RBAC base (admin titolare / utente cliente).</t>
  </si>
  <si>
    <t>Pannello admin titolare</t>
  </si>
  <si>
    <t>Console di gestione tenant: censimento, attivazione, sospensione.</t>
  </si>
  <si>
    <t>Configurazione pesi dello scoring per tenant + override.</t>
  </si>
  <si>
    <t>Vista attività/utilizzo per tenant con filtri.</t>
  </si>
  <si>
    <t>Hardening</t>
  </si>
  <si>
    <t>Audit log completo delle operazioni amministrative.</t>
  </si>
  <si>
    <t>Hardening permessi, irrobustimento delle superfici esposte.</t>
  </si>
  <si>
    <t>Review OWASP Top 10 e correzioni.</t>
  </si>
  <si>
    <t>Test multi-tenancy</t>
  </si>
  <si>
    <t>Suite di test specifica per la segregazione dei dati tra tenant.</t>
  </si>
  <si>
    <t>Totale tier 1</t>
  </si>
  <si>
    <t>Tier 2 — Multi-utenza e gestione team per tenant</t>
  </si>
  <si>
    <t>Il singolo tenant non è più un'utenza unica: l'azienda cliente gestisce un proprio team con ruoli differenziati e onboarding via invito. Requisito tipico per qualunque SaaS B2B minimamente serio.</t>
  </si>
  <si>
    <t>Utenze multiple</t>
  </si>
  <si>
    <t>CRUD utenti interni al tenant, limiti configurabili.</t>
  </si>
  <si>
    <t>RBAC granulare</t>
  </si>
  <si>
    <t>Definizione ruoli applicativi (lettore, operativo, manager) con permessi configurabili.</t>
  </si>
  <si>
    <t>Pannello manager-cliente per la gestione del proprio team.</t>
  </si>
  <si>
    <t>Onboarding</t>
  </si>
  <si>
    <t>Flusso invito email con link sicuro a scadenza.</t>
  </si>
  <si>
    <t>Primo accesso, definizione password, scheda profilo utente.</t>
  </si>
  <si>
    <t>Audit</t>
  </si>
  <si>
    <t>Estensione audit log alle azioni delle utenze interne al tenant.</t>
  </si>
  <si>
    <t>Totale tier 2</t>
  </si>
  <si>
    <t>Tier 3 — Automazione del ciclo commerciale</t>
  </si>
  <si>
    <t>L'azienda titolare smette di gestire a mano l'onboarding commerciale: i clienti si attivano da soli, pagano da soli, ricevono fattura B2B in automatico. È lo step che rende davvero scalabile il modello di business.</t>
  </si>
  <si>
    <t>Stripe</t>
  </si>
  <si>
    <t>Setup ambiente Stripe (test + prod), configurazione prodotti e piani.</t>
  </si>
  <si>
    <t>Configurazione subscription billing per uso B2B (canoni mensili/annuali).</t>
  </si>
  <si>
    <t>Integrazione checkout nell'app, gestione metodi di pagamento.</t>
  </si>
  <si>
    <t>Webhook &amp; lifecycle</t>
  </si>
  <si>
    <t>Listener eventi Stripe (success, fail, cancel, dunning).</t>
  </si>
  <si>
    <t>Automazione attivazione/sospensione tenant in funzione dello stato pagamento.</t>
  </si>
  <si>
    <t>Fatturazione IT</t>
  </si>
  <si>
    <t>Integrazione provider di fatturazione elettronica italiana (es. FattureInCloud / Aruba).</t>
  </si>
  <si>
    <t>Raccolta dati fiscali B2B al checkout (P.IVA, codice destinatario, PEC).</t>
  </si>
  <si>
    <t>UX self-service</t>
  </si>
  <si>
    <t>Pagina gestione abbonamento per il cliente: cambio piano, metodo, storico fatture.</t>
  </si>
  <si>
    <t>Dunning</t>
  </si>
  <si>
    <t>Gestione retry pagamenti falliti, notifiche, stati di grazia configurabili.</t>
  </si>
  <si>
    <t>Totale tier 3</t>
  </si>
  <si>
    <t>Il cliente non usa più il prodotto solo per sé: lo rivende ai propri utenti finali con piani differenziati, branding personalizzato e interrogazione conversazionale. Trasforma il SaaS in prodotto a doppio livello (B2B2X).</t>
  </si>
  <si>
    <t>Tiering end-user</t>
  </si>
  <si>
    <t>Definizione piani applicativi per utente finale (lettura, operativo, conversazionale).</t>
  </si>
  <si>
    <t>Quota enforcement (numero ricerche, ingestion brief al mese, etc.) per piano.</t>
  </si>
  <si>
    <t>Agente conversazionale</t>
  </si>
  <si>
    <t>Interfaccia chat per interrogazione dello strumento in linguaggio naturale.</t>
  </si>
  <si>
    <t>Memoria conversazionale e refinement progressivo dei criteri.</t>
  </si>
  <si>
    <t>Push proattivo</t>
  </si>
  <si>
    <t>Sistema event-driven che notifica l'utente al rilevamento di un match potenziale.</t>
  </si>
  <si>
    <t>UX preferenze notifiche per utente (canali, frequenza, soglie).</t>
  </si>
  <si>
    <t>Totale tier 4</t>
  </si>
  <si>
    <t>Totale del core (Base + Tier 1 → Tier 4)</t>
  </si>
  <si>
    <t>Add-on opzionali</t>
  </si>
  <si>
    <t>I cinque moduli del capitolo 4 del brief, valutati singolarmente. Componibili tra loro e con qualunque tier scelto per il core. Ciascuno ha il dettaglio delle attività con il razionale di costo: la stessa parola "AI" può nascondere una giornata di lavoro o tre settimane, qui è esplicitato perché.</t>
  </si>
  <si>
    <t>Check interattivo pre-ricerca</t>
  </si>
  <si>
    <t>Quando il brief fornito dall'utente è incompleto rispetto ai parametri necessari (settore, perimetro, dimensione), l'agente formula domande di chiarimento prima di avviare la ricerca, anziché procedere con parametri parziali.</t>
  </si>
  <si>
    <t>Perché questo prezzo: estensione della logica di ingresso dell'agente già previsto nel core. Si tratta di una catena di prompt aggiuntiva con uno stato che valuta la completezza dell'input. Il valore percepito dall'utente è alto perché evita ricerche inutili: il costo riflette il lavoro di prompting, gestione conversazionale e UX dell'interazione.</t>
  </si>
  <si>
    <t>Logica core</t>
  </si>
  <si>
    <t>Valutazione completezza brief rispetto ai parametri necessari di ricerca.</t>
  </si>
  <si>
    <t>Prompting</t>
  </si>
  <si>
    <t>Generazione domande di chiarimento mirate al campo mancante.</t>
  </si>
  <si>
    <t>Conversazione</t>
  </si>
  <si>
    <t>Gestione conversazione multi-turno con stato, validazione risposte.</t>
  </si>
  <si>
    <t>UX</t>
  </si>
  <si>
    <t>Interazione domande/risposte inline nell'agente, gestione skip.</t>
  </si>
  <si>
    <t>Totale 4.1</t>
  </si>
  <si>
    <t>Input da nota vocale</t>
  </si>
  <si>
    <t>L'utente registra il brief come nota vocale dall'interfaccia. Il sistema trascrive automaticamente (speech-to-text + refinement) e passa il testo all'agente. Le note non vengono conservate dopo la trascrizione, salvo configurazione opposta.</t>
  </si>
  <si>
    <t>Perché questo prezzo: tecnicamente è una chiamata API a un servizio di trascrizione (es. Gemini o equivalente in regione EU) seguita da una piccola fase di refinement per allineare la trascrizione al lessico del dominio. La quota di lavoro maggiore va in upload audio sicuro, gestione confidenza e UX della registrazione.</t>
  </si>
  <si>
    <t>Audio</t>
  </si>
  <si>
    <t>Upload audio dall'interfaccia + gestione storage temporaneo cifrato.</t>
  </si>
  <si>
    <t>Speech-to-text</t>
  </si>
  <si>
    <t>Integrazione servizio STT in regione EU (es. Gemini o equivalente).</t>
  </si>
  <si>
    <t>Refinement</t>
  </si>
  <si>
    <t>Adattamento lessicale al dominio (terminologia bandi/finanza agevolata).</t>
  </si>
  <si>
    <t>Robustezza</t>
  </si>
  <si>
    <t>Gestione confidenza bassa, fallback testuale, errori di trascrizione.</t>
  </si>
  <si>
    <t>UI di registrazione, feedback live, anteprima trascrizione modificabile.</t>
  </si>
  <si>
    <t>Totale 4.2</t>
  </si>
  <si>
    <t>Notifiche proattive</t>
  </si>
  <si>
    <t>Sistema di monitoraggio attivo: ogni giorno incrocia i profili dei clienti memorizzati con le nuove opportunità pubblicate dalle fonti ufficiali. Per ogni profilo viene generato un report giornaliero via email, con motivazione del match e azioni suggerite.</t>
  </si>
  <si>
    <t>Perché questo prezzo: qui non si paga la singola notifica, si paga il sotto-sistema. Bisogna costruire lo scheduler che ogni notte rimaterializza l'incrocio profili × opportunità nuove, tenere traccia di cosa è già stato segnalato per non spammare, comporre l'email con i breakdown del match, e gestire deliverability. Per un perimetro multi-tenant questo è un sotto-sistema, non un cron banale.</t>
  </si>
  <si>
    <t>Scheduler</t>
  </si>
  <si>
    <t>Job giornaliero per ricomputare l'incrocio profili × nuove opportunità.</t>
  </si>
  <si>
    <t>Matching engine</t>
  </si>
  <si>
    <t>Calcolo del match per profilo in modalità batch su tutti i tenant.</t>
  </si>
  <si>
    <t>Idempotenza</t>
  </si>
  <si>
    <t>Tracciamento delle opportunità già notificate per evitare duplicati.</t>
  </si>
  <si>
    <t>Email composition</t>
  </si>
  <si>
    <t>Costruzione email con breakdown del match e azioni suggerite.</t>
  </si>
  <si>
    <t>Deliverability</t>
  </si>
  <si>
    <t>Setup email transazionale (SPF/DKIM/DMARC), monitoraggio bounce.</t>
  </si>
  <si>
    <t>Cruscotto</t>
  </si>
  <si>
    <t>Vista storico notifiche per tenant, con stato lettura/azione.</t>
  </si>
  <si>
    <t>Configurazione</t>
  </si>
  <si>
    <t>Pannello impostazioni notifiche per tenant e per utente.</t>
  </si>
  <si>
    <t>Totale 4.3</t>
  </si>
  <si>
    <t>Osservatorio preventivo</t>
  </si>
  <si>
    <t>Modulo che anticipa le opportunità analizzando documenti normativi a monte della pubblicazione dei bandi: legge di bilancio, decreti attuativi, programmazioni pluriennali europee, comunicazioni della Commissione, atti regionali. Identifica gli ambiti su cui sono attesi futuri bandi e segnala le tematiche emergenti.</t>
  </si>
  <si>
    <t>Perché questo prezzo: questa è la voce più impegnativa del capitolo 4 e per buoni motivi. Le fonti normative non sono strutturate come quelle del core: parliamo di PDF lunghi, eterogenei, con linguaggio giuridico, spesso senza metadati utili. Servono pipeline di ingestione, segmentazione semantica, classificazione tematica, una logica di confronto storica per capire cosa è davvero "emergente". E va validato con cura, perché un falso positivo qui ha costo reputazionale alto: l'utente viene avvisato di un bando che poi non esce.</t>
  </si>
  <si>
    <t>Ingestione documenti</t>
  </si>
  <si>
    <t>Pipeline ingestione documenti normativi (PDF lunghi, eterogenei).</t>
  </si>
  <si>
    <t>Pre-processing</t>
  </si>
  <si>
    <t>Segmentazione semantica per articolo/sezione/comma.</t>
  </si>
  <si>
    <t>Classificazione tematica multi-label con tassonomia di dominio.</t>
  </si>
  <si>
    <t>Logica anticipativa</t>
  </si>
  <si>
    <t>Confronto storico per identificare ambiti emergenti rispetto al pubblicato.</t>
  </si>
  <si>
    <t>Validazione</t>
  </si>
  <si>
    <t>Framework di validazione (riduzione falsi positivi alti, soglie configurabili).</t>
  </si>
  <si>
    <t>Notifica anticipata</t>
  </si>
  <si>
    <t>Flusso di segnalazione con disclaimer e contesto del documento sorgente.</t>
  </si>
  <si>
    <t>Admin</t>
  </si>
  <si>
    <t>Strumenti amministratore per curazione fonti normative e gestione tassonomia.</t>
  </si>
  <si>
    <t>Tuning</t>
  </si>
  <si>
    <t>Cicli di test, tuning prompt e soglie su corpus reale.</t>
  </si>
  <si>
    <t>Totale 4.4</t>
  </si>
  <si>
    <t>Generazione automatica email e presentazioni</t>
  </si>
  <si>
    <t>A partire da un'opportunità identificata e dal profilo del cliente, genera in automatico una email icebreaker personalizzata e una presentazione sintetica esportabile in PDF con dati salienti (requisiti, tempistiche, benefici). Integrazione con servizio email per invio diretto dall'interfaccia.</t>
  </si>
  <si>
    <t>Perché questo prezzo: due output diversi che condividono il prompting di base ma divergono sulla resa: l'email richiede tone control e un template ben curato, il PDF richiede un layout disegnato e templating affidabile. Va aggiunta l'integrazione con il provider di email transazionali (DKIM/SPF, tracking apertura, deliverability) per chiudere il flusso end-to-end.</t>
  </si>
  <si>
    <t>Email generation</t>
  </si>
  <si>
    <t>Template email icebreaker con tone control e personalizzazione profilo.</t>
  </si>
  <si>
    <t>PDF engine</t>
  </si>
  <si>
    <t>Engine generazione PDF (es. WeasyPrint o equivalente).</t>
  </si>
  <si>
    <t>PDF design</t>
  </si>
  <si>
    <t>Template grafici PDF coerenti con il brand del cliente.</t>
  </si>
  <si>
    <t>Personalizzazione</t>
  </si>
  <si>
    <t>Iniezione dati profilo cliente nei contenuti generati.</t>
  </si>
  <si>
    <t>Email transazionale</t>
  </si>
  <si>
    <t>Integrazione provider transazionale (DKIM/SPF, deliverability).</t>
  </si>
  <si>
    <t>Tracking</t>
  </si>
  <si>
    <t>Tracking aperture e click sulle email inviate.</t>
  </si>
  <si>
    <t>UX invio</t>
  </si>
  <si>
    <t>Interfaccia revisione + invio diretto dall'app.</t>
  </si>
  <si>
    <t>Totale 4.5</t>
  </si>
  <si>
    <t>Totale se attivati tutti e cinque</t>
  </si>
  <si>
    <t>Tier 4 — New Features e tiering per utenti finali</t>
  </si>
  <si>
    <t>PREZZO SCONTATO</t>
  </si>
  <si>
    <t>Totale delle integrazioni extra singole</t>
  </si>
  <si>
    <t>Tot incrementale</t>
  </si>
  <si>
    <t>Totale se attivati tutti e cinque con sconto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</si>
</sst>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gg&quot;;[Red]\(0&quot; gg)&quot;;\—"/>
    <numFmt numFmtId="165" formatCode="#,##0&quot; €&quot;;[Red]\(#,##0&quot; €)&quot;;\—"/>
    <numFmt numFmtId="166" formatCode="_([$€-2]\ * #,##0.00_);_([$€-2]\ * \(#,##0.00\);_([$€-2]\ * &quot;-&quot;??_);_(@_)"/>
  </numFmts>
  <fonts count="13" x14ac:knownFonts="1">
    <font>
      <sz val="11"/>
      <color theme="1"/>
      <name val="Calibri"/>
      <family val="2"/>
      <charset val="1"/>
    </font>
    <font>
      <i/>
      <sz val="10"/>
      <color rgb="FF4A4A4A"/>
      <name val="Calibri"/>
      <family val="2"/>
    </font>
    <font>
      <b/>
      <sz val="13"/>
      <color rgb="FF1E3A5F"/>
      <name val="Calibri"/>
      <family val="2"/>
    </font>
    <font>
      <sz val="10"/>
      <color rgb="FF111111"/>
      <name val="Calibri"/>
      <family val="2"/>
    </font>
    <font>
      <b/>
      <sz val="11"/>
      <color rgb="FF111111"/>
      <name val="Calibri"/>
      <family val="2"/>
    </font>
    <font>
      <b/>
      <sz val="10"/>
      <color rgb="FF2E5687"/>
      <name val="Calibri"/>
      <family val="2"/>
    </font>
    <font>
      <b/>
      <sz val="18"/>
      <color rgb="FF1E3A5F"/>
      <name val="Calibri"/>
      <family val="2"/>
    </font>
    <font>
      <b/>
      <sz val="13"/>
      <color rgb="FFFFFFFF"/>
      <name val="Calibri"/>
      <family val="2"/>
    </font>
    <font>
      <b/>
      <sz val="10"/>
      <color rgb="FF1E3A5F"/>
      <name val="Calibri"/>
      <family val="2"/>
    </font>
    <font>
      <b/>
      <sz val="12"/>
      <color rgb="FFB85C38"/>
      <name val="Calibri"/>
      <family val="2"/>
    </font>
    <font>
      <b/>
      <sz val="14"/>
      <color rgb="FFFFFFFF"/>
      <name val="Calibri"/>
      <family val="2"/>
    </font>
    <font>
      <b/>
      <sz val="14"/>
      <color rgb="FFB85C38"/>
      <name val="Calibri"/>
      <family val="2"/>
    </font>
    <font>
      <sz val="14"/>
      <color theme="1"/>
      <name val="Calibri"/>
      <family val="2"/>
      <charset val="1"/>
    </font>
  </fonts>
  <fills count="10">
    <fill>
      <patternFill patternType="none"/>
    </fill>
    <fill>
      <patternFill patternType="gray125"/>
    </fill>
    <fill>
      <patternFill patternType="solid">
        <fgColor rgb="FF1E3A5F"/>
        <bgColor rgb="FF2E5687"/>
      </patternFill>
    </fill>
    <fill>
      <patternFill patternType="solid">
        <fgColor rgb="FFEEEDE7"/>
        <bgColor rgb="FFF5EFE6"/>
      </patternFill>
    </fill>
    <fill>
      <patternFill patternType="solid">
        <fgColor rgb="FFF5EFE6"/>
        <bgColor rgb="FFEEEDE7"/>
      </patternFill>
    </fill>
    <fill>
      <patternFill patternType="solid">
        <fgColor theme="0" tint="-4.9989318521683403E-2"/>
        <bgColor indexed="64"/>
      </patternFill>
    </fill>
    <fill>
      <patternFill patternType="solid">
        <fgColor theme="0" tint="-4.9989318521683403E-2"/>
        <bgColor rgb="FFF5EFE6"/>
      </patternFill>
    </fill>
    <fill>
      <patternFill patternType="solid">
        <fgColor theme="6" tint="-0.499984740745262"/>
        <bgColor rgb="FF1E3A5F"/>
      </patternFill>
    </fill>
    <fill>
      <patternFill patternType="solid">
        <fgColor theme="6" tint="-0.499984740745262"/>
        <bgColor rgb="FF2E5687"/>
      </patternFill>
    </fill>
    <fill>
      <patternFill patternType="solid">
        <fgColor theme="6" tint="-0.499984740745262"/>
        <bgColor rgb="FF808080"/>
      </patternFill>
    </fill>
  </fills>
  <borders count="9">
    <border>
      <left/>
      <right/>
      <top/>
      <bottom/>
      <diagonal/>
    </border>
    <border>
      <left/>
      <right/>
      <top/>
      <bottom style="medium">
        <color rgb="FF1E3A5F"/>
      </bottom>
      <diagonal/>
    </border>
    <border>
      <left style="thin">
        <color rgb="FFC9C5BA"/>
      </left>
      <right style="thin">
        <color rgb="FFC9C5BA"/>
      </right>
      <top style="medium">
        <color rgb="FF1E3A5F"/>
      </top>
      <bottom style="medium">
        <color rgb="FF1E3A5F"/>
      </bottom>
      <diagonal/>
    </border>
    <border>
      <left/>
      <right/>
      <top/>
      <bottom style="thin">
        <color rgb="FF1E3A5F"/>
      </bottom>
      <diagonal/>
    </border>
    <border>
      <left/>
      <right/>
      <top/>
      <bottom style="thin">
        <color rgb="FFC9C5BA"/>
      </bottom>
      <diagonal/>
    </border>
    <border>
      <left/>
      <right/>
      <top style="thin">
        <color rgb="FF1E3A5F"/>
      </top>
      <bottom style="thin">
        <color rgb="FFC9C5BA"/>
      </bottom>
      <diagonal/>
    </border>
    <border>
      <left/>
      <right/>
      <top style="thin">
        <color rgb="FFC9C5BA"/>
      </top>
      <bottom style="thin">
        <color rgb="FFC9C5BA"/>
      </bottom>
      <diagonal/>
    </border>
    <border>
      <left/>
      <right/>
      <top style="thin">
        <color rgb="FFC9C5BA"/>
      </top>
      <bottom style="medium">
        <color rgb="FF1E3A5F"/>
      </bottom>
      <diagonal/>
    </border>
    <border>
      <left/>
      <right/>
      <top/>
      <bottom style="thin">
        <color indexed="64"/>
      </bottom>
      <diagonal/>
    </border>
  </borders>
  <cellStyleXfs count="1">
    <xf numFmtId="0" fontId="0" fillId="0" borderId="0"/>
  </cellStyleXfs>
  <cellXfs count="41">
    <xf numFmtId="0" fontId="0" fillId="0" borderId="0" xfId="0"/>
    <xf numFmtId="0" fontId="1" fillId="0" borderId="0" xfId="0" applyFont="1"/>
    <xf numFmtId="0" fontId="0" fillId="0" borderId="1" xfId="0" applyBorder="1"/>
    <xf numFmtId="164" fontId="4" fillId="4" borderId="2" xfId="0" applyNumberFormat="1" applyFont="1" applyFill="1" applyBorder="1" applyAlignment="1">
      <alignment horizontal="right" vertical="center"/>
    </xf>
    <xf numFmtId="0" fontId="0" fillId="4" borderId="2" xfId="0" applyFill="1" applyBorder="1"/>
    <xf numFmtId="0" fontId="4" fillId="4" borderId="2" xfId="0" applyFont="1" applyFill="1" applyBorder="1" applyAlignment="1">
      <alignment horizontal="right" vertical="center"/>
    </xf>
    <xf numFmtId="0" fontId="6" fillId="0" borderId="0" xfId="0" applyFont="1"/>
    <xf numFmtId="0" fontId="4" fillId="0" borderId="0" xfId="0" applyFont="1" applyAlignment="1">
      <alignment horizontal="left" vertical="center"/>
    </xf>
    <xf numFmtId="0" fontId="8" fillId="3" borderId="3" xfId="0" applyFont="1" applyFill="1" applyBorder="1" applyAlignment="1">
      <alignment horizontal="left" vertical="center" wrapText="1"/>
    </xf>
    <xf numFmtId="0" fontId="8" fillId="3" borderId="3" xfId="0" applyFont="1" applyFill="1" applyBorder="1" applyAlignment="1">
      <alignment horizontal="center" vertical="center"/>
    </xf>
    <xf numFmtId="0" fontId="5" fillId="0" borderId="4" xfId="0" applyFont="1" applyBorder="1" applyAlignment="1">
      <alignment horizontal="left" vertical="center" wrapText="1"/>
    </xf>
    <xf numFmtId="0" fontId="3" fillId="0" borderId="4" xfId="0" applyFont="1" applyBorder="1" applyAlignment="1">
      <alignment horizontal="left" vertical="top" wrapText="1"/>
    </xf>
    <xf numFmtId="165" fontId="0" fillId="0" borderId="4" xfId="0" applyNumberFormat="1" applyBorder="1" applyAlignment="1">
      <alignment horizontal="right" vertical="center"/>
    </xf>
    <xf numFmtId="165" fontId="9" fillId="4" borderId="2" xfId="0" applyNumberFormat="1" applyFont="1" applyFill="1" applyBorder="1" applyAlignment="1">
      <alignment horizontal="right" vertical="center"/>
    </xf>
    <xf numFmtId="165" fontId="10" fillId="2" borderId="0" xfId="0" applyNumberFormat="1" applyFont="1" applyFill="1" applyAlignment="1">
      <alignment horizontal="right" vertical="center"/>
    </xf>
    <xf numFmtId="0" fontId="11" fillId="0" borderId="0" xfId="0" applyFont="1" applyAlignment="1">
      <alignment horizontal="center" vertical="center"/>
    </xf>
    <xf numFmtId="165" fontId="11" fillId="0" borderId="0" xfId="0" applyNumberFormat="1" applyFont="1" applyAlignment="1">
      <alignment horizontal="right" vertical="center"/>
    </xf>
    <xf numFmtId="0" fontId="8" fillId="3" borderId="0" xfId="0" applyFont="1" applyFill="1" applyAlignment="1">
      <alignment horizontal="left" vertical="center" wrapText="1"/>
    </xf>
    <xf numFmtId="0" fontId="12" fillId="0" borderId="0" xfId="0" applyFont="1"/>
    <xf numFmtId="166" fontId="0" fillId="0" borderId="0" xfId="0" applyNumberFormat="1"/>
    <xf numFmtId="166" fontId="8" fillId="3" borderId="0" xfId="0" applyNumberFormat="1" applyFont="1" applyFill="1" applyAlignment="1">
      <alignment horizontal="center" vertical="center"/>
    </xf>
    <xf numFmtId="0" fontId="0" fillId="5" borderId="0" xfId="0" applyFill="1"/>
    <xf numFmtId="0" fontId="8" fillId="6" borderId="3" xfId="0" applyFont="1" applyFill="1" applyBorder="1" applyAlignment="1">
      <alignment horizontal="left" vertical="center" wrapText="1"/>
    </xf>
    <xf numFmtId="0" fontId="8" fillId="6" borderId="3" xfId="0" applyFont="1" applyFill="1" applyBorder="1" applyAlignment="1">
      <alignment horizontal="center" vertical="center"/>
    </xf>
    <xf numFmtId="166" fontId="8" fillId="6" borderId="0" xfId="0" applyNumberFormat="1" applyFont="1" applyFill="1" applyAlignment="1">
      <alignment horizontal="center" vertical="center"/>
    </xf>
    <xf numFmtId="165" fontId="10" fillId="8" borderId="0" xfId="0" applyNumberFormat="1" applyFont="1" applyFill="1" applyAlignment="1">
      <alignment horizontal="right" vertical="center"/>
    </xf>
    <xf numFmtId="0" fontId="0" fillId="0" borderId="8" xfId="0" applyBorder="1"/>
    <xf numFmtId="166" fontId="0" fillId="0" borderId="8" xfId="0" applyNumberFormat="1" applyBorder="1"/>
    <xf numFmtId="0" fontId="7" fillId="8" borderId="0" xfId="0" applyFont="1" applyFill="1" applyAlignment="1">
      <alignment horizontal="left" vertical="center" indent="1"/>
    </xf>
    <xf numFmtId="0" fontId="7" fillId="7" borderId="0" xfId="0" applyFont="1" applyFill="1" applyAlignment="1">
      <alignment horizontal="center" vertical="center"/>
    </xf>
    <xf numFmtId="0" fontId="1" fillId="6" borderId="0" xfId="0" applyFont="1" applyFill="1" applyAlignment="1">
      <alignment horizontal="center" vertical="top" wrapText="1"/>
    </xf>
    <xf numFmtId="0" fontId="1" fillId="3" borderId="0" xfId="0" applyFont="1" applyFill="1" applyAlignment="1">
      <alignment horizontal="center" vertical="top" wrapText="1"/>
    </xf>
    <xf numFmtId="0" fontId="7" fillId="9" borderId="0" xfId="0" applyFont="1" applyFill="1" applyAlignment="1">
      <alignment horizontal="center" vertical="center"/>
    </xf>
    <xf numFmtId="0" fontId="8" fillId="3" borderId="3" xfId="0" applyFont="1" applyFill="1" applyBorder="1" applyAlignment="1">
      <alignment horizontal="center" vertical="center" wrapText="1"/>
    </xf>
    <xf numFmtId="0" fontId="7" fillId="2" borderId="0" xfId="0" applyFont="1" applyFill="1" applyAlignment="1">
      <alignment horizontal="left" vertical="center" inden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5" xfId="0" applyFont="1" applyBorder="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left" vertical="center"/>
    </xf>
    <xf numFmtId="0" fontId="3" fillId="3" borderId="0" xfId="0" applyFont="1" applyFill="1" applyAlignment="1">
      <alignment horizontal="left" vertical="top"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5BA"/>
      <rgbColor rgb="FF808080"/>
      <rgbColor rgb="FF9999FF"/>
      <rgbColor rgb="FFB85C38"/>
      <rgbColor rgb="FFFFF7CC"/>
      <rgbColor rgb="FFEEED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EFE6"/>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E3A5F"/>
      <rgbColor rgb="FF339966"/>
      <rgbColor rgb="FF111111"/>
      <rgbColor rgb="FF333300"/>
      <rgbColor rgb="FF993300"/>
      <rgbColor rgb="FF993366"/>
      <rgbColor rgb="FF2E5687"/>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76"/>
  <sheetViews>
    <sheetView showGridLines="0" tabSelected="1" topLeftCell="A3" zoomScale="87" zoomScaleNormal="151" workbookViewId="0">
      <selection activeCell="J21" sqref="J21"/>
    </sheetView>
  </sheetViews>
  <sheetFormatPr baseColWidth="10" defaultColWidth="8.6640625" defaultRowHeight="19" x14ac:dyDescent="0.25"/>
  <cols>
    <col min="1" max="1" width="2" customWidth="1"/>
    <col min="2" max="2" width="24" customWidth="1"/>
    <col min="3" max="3" width="52" customWidth="1"/>
    <col min="4" max="4" width="14" customWidth="1"/>
    <col min="5" max="5" width="15" style="19" customWidth="1"/>
    <col min="6" max="6" width="15.6640625" style="18" customWidth="1"/>
  </cols>
  <sheetData>
    <row r="2" spans="2:6" ht="31.5" customHeight="1" x14ac:dyDescent="0.3">
      <c r="B2" s="6" t="s">
        <v>6</v>
      </c>
    </row>
    <row r="3" spans="2:6" x14ac:dyDescent="0.25">
      <c r="B3" s="1" t="s">
        <v>7</v>
      </c>
    </row>
    <row r="5" spans="2:6" x14ac:dyDescent="0.25">
      <c r="B5" s="26"/>
      <c r="C5" s="26"/>
      <c r="D5" s="26"/>
      <c r="E5" s="27"/>
    </row>
    <row r="6" spans="2:6" x14ac:dyDescent="0.25">
      <c r="B6" s="7"/>
    </row>
    <row r="9" spans="2:6" ht="25.5" customHeight="1" x14ac:dyDescent="0.2">
      <c r="B9" s="32" t="s">
        <v>8</v>
      </c>
      <c r="C9" s="32"/>
      <c r="D9" s="32"/>
      <c r="E9" s="32"/>
      <c r="F9" s="32"/>
    </row>
    <row r="10" spans="2:6" ht="37.5" customHeight="1" x14ac:dyDescent="0.2">
      <c r="B10" s="31" t="s">
        <v>9</v>
      </c>
      <c r="C10" s="31"/>
      <c r="D10" s="31"/>
      <c r="E10" s="31"/>
      <c r="F10" s="31"/>
    </row>
    <row r="11" spans="2:6" ht="21.75" customHeight="1" thickBot="1" x14ac:dyDescent="0.25">
      <c r="B11" s="8" t="s">
        <v>10</v>
      </c>
      <c r="C11" s="8" t="s">
        <v>11</v>
      </c>
      <c r="D11" s="9" t="s">
        <v>0</v>
      </c>
      <c r="E11" s="20" t="s">
        <v>161</v>
      </c>
      <c r="F11" s="20" t="s">
        <v>163</v>
      </c>
    </row>
    <row r="12" spans="2:6" ht="25.5" customHeight="1" thickBot="1" x14ac:dyDescent="0.25">
      <c r="B12" s="4"/>
      <c r="C12" s="5" t="s">
        <v>13</v>
      </c>
      <c r="D12" s="13">
        <v>20400</v>
      </c>
      <c r="E12" s="13">
        <v>14000</v>
      </c>
      <c r="F12" s="13">
        <f>E12</f>
        <v>14000</v>
      </c>
    </row>
    <row r="15" spans="2:6" ht="25.5" customHeight="1" x14ac:dyDescent="0.2">
      <c r="B15" s="29" t="s">
        <v>14</v>
      </c>
      <c r="C15" s="29"/>
      <c r="D15" s="29"/>
      <c r="E15" s="29"/>
      <c r="F15" s="29"/>
    </row>
    <row r="16" spans="2:6" ht="37.5" customHeight="1" x14ac:dyDescent="0.2">
      <c r="B16" s="31" t="s">
        <v>15</v>
      </c>
      <c r="C16" s="31"/>
      <c r="D16" s="31"/>
      <c r="E16" s="31"/>
      <c r="F16" s="31"/>
    </row>
    <row r="17" spans="2:6" ht="21.75" customHeight="1" x14ac:dyDescent="0.2">
      <c r="B17" s="8" t="s">
        <v>10</v>
      </c>
      <c r="C17" s="8" t="s">
        <v>11</v>
      </c>
      <c r="D17" s="9" t="s">
        <v>0</v>
      </c>
      <c r="E17" s="20" t="s">
        <v>161</v>
      </c>
      <c r="F17" s="20" t="s">
        <v>163</v>
      </c>
    </row>
    <row r="18" spans="2:6" ht="31.5" customHeight="1" x14ac:dyDescent="0.25">
      <c r="B18" s="10" t="s">
        <v>16</v>
      </c>
      <c r="C18" s="11" t="s">
        <v>17</v>
      </c>
      <c r="D18" s="12"/>
    </row>
    <row r="19" spans="2:6" ht="31.5" customHeight="1" x14ac:dyDescent="0.25">
      <c r="B19" s="10" t="s">
        <v>16</v>
      </c>
      <c r="C19" s="11" t="s">
        <v>18</v>
      </c>
      <c r="D19" s="12"/>
    </row>
    <row r="20" spans="2:6" ht="31.5" customHeight="1" x14ac:dyDescent="0.25">
      <c r="B20" s="10" t="s">
        <v>19</v>
      </c>
      <c r="C20" s="11" t="s">
        <v>20</v>
      </c>
      <c r="D20" s="12"/>
    </row>
    <row r="21" spans="2:6" ht="31.5" customHeight="1" x14ac:dyDescent="0.25">
      <c r="B21" s="10" t="s">
        <v>19</v>
      </c>
      <c r="C21" s="11" t="s">
        <v>21</v>
      </c>
      <c r="D21" s="12"/>
    </row>
    <row r="22" spans="2:6" ht="31.5" customHeight="1" x14ac:dyDescent="0.25">
      <c r="B22" s="10" t="s">
        <v>19</v>
      </c>
      <c r="C22" s="11" t="s">
        <v>22</v>
      </c>
      <c r="D22" s="12"/>
    </row>
    <row r="23" spans="2:6" ht="31.5" customHeight="1" x14ac:dyDescent="0.25">
      <c r="B23" s="10" t="s">
        <v>19</v>
      </c>
      <c r="C23" s="11" t="s">
        <v>23</v>
      </c>
      <c r="D23" s="12"/>
    </row>
    <row r="24" spans="2:6" ht="31.5" customHeight="1" x14ac:dyDescent="0.25">
      <c r="B24" s="10" t="s">
        <v>24</v>
      </c>
      <c r="C24" s="11" t="s">
        <v>25</v>
      </c>
      <c r="D24" s="12"/>
    </row>
    <row r="25" spans="2:6" ht="31.5" customHeight="1" x14ac:dyDescent="0.25">
      <c r="B25" s="10" t="s">
        <v>24</v>
      </c>
      <c r="C25" s="11" t="s">
        <v>26</v>
      </c>
      <c r="D25" s="12"/>
    </row>
    <row r="26" spans="2:6" ht="31.5" customHeight="1" x14ac:dyDescent="0.25">
      <c r="B26" s="10" t="s">
        <v>24</v>
      </c>
      <c r="C26" s="11" t="s">
        <v>27</v>
      </c>
      <c r="D26" s="12"/>
    </row>
    <row r="27" spans="2:6" ht="31.5" customHeight="1" x14ac:dyDescent="0.25">
      <c r="B27" s="10" t="s">
        <v>28</v>
      </c>
      <c r="C27" s="11" t="s">
        <v>29</v>
      </c>
      <c r="D27" s="12"/>
    </row>
    <row r="28" spans="2:6" ht="31.5" customHeight="1" x14ac:dyDescent="0.25">
      <c r="B28" s="10" t="s">
        <v>28</v>
      </c>
      <c r="C28" s="11" t="s">
        <v>30</v>
      </c>
      <c r="D28" s="12"/>
    </row>
    <row r="29" spans="2:6" ht="31.5" customHeight="1" x14ac:dyDescent="0.25">
      <c r="B29" s="10" t="s">
        <v>28</v>
      </c>
      <c r="C29" s="11" t="s">
        <v>31</v>
      </c>
      <c r="D29" s="12"/>
    </row>
    <row r="30" spans="2:6" ht="31.5" customHeight="1" thickBot="1" x14ac:dyDescent="0.25">
      <c r="B30" s="10" t="s">
        <v>32</v>
      </c>
      <c r="C30" s="11" t="s">
        <v>33</v>
      </c>
      <c r="D30" s="9" t="s">
        <v>0</v>
      </c>
      <c r="E30" s="20" t="s">
        <v>161</v>
      </c>
      <c r="F30" s="20" t="s">
        <v>163</v>
      </c>
    </row>
    <row r="31" spans="2:6" ht="25.5" customHeight="1" thickBot="1" x14ac:dyDescent="0.25">
      <c r="B31" s="4"/>
      <c r="C31" s="5" t="s">
        <v>34</v>
      </c>
      <c r="D31" s="13">
        <v>10200</v>
      </c>
      <c r="E31" s="13">
        <f>D31/1.3</f>
        <v>7846.1538461538457</v>
      </c>
      <c r="F31" s="13">
        <f>E31+E12</f>
        <v>21846.153846153844</v>
      </c>
    </row>
    <row r="34" spans="1:6" ht="25.5" customHeight="1" x14ac:dyDescent="0.2">
      <c r="B34" s="29" t="s">
        <v>35</v>
      </c>
      <c r="C34" s="29"/>
      <c r="D34" s="29"/>
      <c r="E34" s="29"/>
      <c r="F34" s="29"/>
    </row>
    <row r="35" spans="1:6" ht="37.5" customHeight="1" x14ac:dyDescent="0.2">
      <c r="A35" s="21"/>
      <c r="B35" s="30" t="s">
        <v>36</v>
      </c>
      <c r="C35" s="30"/>
      <c r="D35" s="30"/>
      <c r="E35" s="30"/>
      <c r="F35" s="30"/>
    </row>
    <row r="36" spans="1:6" ht="21.75" customHeight="1" x14ac:dyDescent="0.2">
      <c r="A36" s="21"/>
      <c r="B36" s="22" t="s">
        <v>10</v>
      </c>
      <c r="C36" s="22" t="s">
        <v>11</v>
      </c>
      <c r="D36" s="23" t="s">
        <v>0</v>
      </c>
      <c r="E36" s="24" t="s">
        <v>161</v>
      </c>
      <c r="F36" s="24" t="s">
        <v>163</v>
      </c>
    </row>
    <row r="37" spans="1:6" ht="31.5" customHeight="1" x14ac:dyDescent="0.25">
      <c r="B37" s="10" t="s">
        <v>37</v>
      </c>
      <c r="C37" s="11" t="s">
        <v>38</v>
      </c>
      <c r="D37" s="12"/>
    </row>
    <row r="38" spans="1:6" ht="31.5" customHeight="1" x14ac:dyDescent="0.25">
      <c r="B38" s="10" t="s">
        <v>39</v>
      </c>
      <c r="C38" s="11" t="s">
        <v>40</v>
      </c>
      <c r="D38" s="12"/>
    </row>
    <row r="39" spans="1:6" ht="31.5" customHeight="1" x14ac:dyDescent="0.25">
      <c r="B39" s="10" t="s">
        <v>39</v>
      </c>
      <c r="C39" s="11" t="s">
        <v>41</v>
      </c>
      <c r="D39" s="12"/>
    </row>
    <row r="40" spans="1:6" ht="31.5" customHeight="1" x14ac:dyDescent="0.25">
      <c r="B40" s="10" t="s">
        <v>42</v>
      </c>
      <c r="C40" s="11" t="s">
        <v>43</v>
      </c>
      <c r="D40" s="12"/>
    </row>
    <row r="41" spans="1:6" ht="31.5" customHeight="1" x14ac:dyDescent="0.25">
      <c r="B41" s="10" t="s">
        <v>42</v>
      </c>
      <c r="C41" s="11" t="s">
        <v>44</v>
      </c>
      <c r="D41" s="12"/>
    </row>
    <row r="42" spans="1:6" ht="31.5" customHeight="1" thickBot="1" x14ac:dyDescent="0.25">
      <c r="B42" s="10" t="s">
        <v>45</v>
      </c>
      <c r="C42" s="11" t="s">
        <v>46</v>
      </c>
      <c r="D42" s="9" t="s">
        <v>0</v>
      </c>
      <c r="E42" s="20" t="s">
        <v>161</v>
      </c>
      <c r="F42" s="20" t="s">
        <v>163</v>
      </c>
    </row>
    <row r="43" spans="1:6" ht="25.5" customHeight="1" thickBot="1" x14ac:dyDescent="0.25">
      <c r="B43" s="4"/>
      <c r="C43" s="5" t="s">
        <v>47</v>
      </c>
      <c r="D43" s="13">
        <v>4500</v>
      </c>
      <c r="E43" s="13">
        <f>3461.538462</f>
        <v>3461.538462</v>
      </c>
      <c r="F43" s="13">
        <f>E43+F31</f>
        <v>25307.692308153844</v>
      </c>
    </row>
    <row r="46" spans="1:6" ht="25.5" customHeight="1" x14ac:dyDescent="0.2">
      <c r="B46" s="29" t="s">
        <v>48</v>
      </c>
      <c r="C46" s="29"/>
      <c r="D46" s="29"/>
      <c r="E46" s="29"/>
      <c r="F46" s="29"/>
    </row>
    <row r="47" spans="1:6" ht="37.5" customHeight="1" x14ac:dyDescent="0.2">
      <c r="B47" s="31" t="s">
        <v>49</v>
      </c>
      <c r="C47" s="31"/>
      <c r="D47" s="31"/>
      <c r="E47" s="31"/>
      <c r="F47" s="31"/>
    </row>
    <row r="48" spans="1:6" ht="21.75" customHeight="1" x14ac:dyDescent="0.2">
      <c r="B48" s="8" t="s">
        <v>10</v>
      </c>
      <c r="C48" s="8" t="s">
        <v>11</v>
      </c>
      <c r="D48" s="9" t="s">
        <v>0</v>
      </c>
      <c r="E48" s="20" t="s">
        <v>161</v>
      </c>
      <c r="F48" s="20" t="s">
        <v>163</v>
      </c>
    </row>
    <row r="49" spans="2:6" ht="31.5" customHeight="1" x14ac:dyDescent="0.25">
      <c r="B49" s="10" t="s">
        <v>50</v>
      </c>
      <c r="C49" s="11" t="s">
        <v>51</v>
      </c>
      <c r="D49" s="12"/>
    </row>
    <row r="50" spans="2:6" ht="31.5" customHeight="1" x14ac:dyDescent="0.25">
      <c r="B50" s="10" t="s">
        <v>50</v>
      </c>
      <c r="C50" s="11" t="s">
        <v>52</v>
      </c>
      <c r="D50" s="12"/>
    </row>
    <row r="51" spans="2:6" ht="31.5" customHeight="1" x14ac:dyDescent="0.25">
      <c r="B51" s="10" t="s">
        <v>50</v>
      </c>
      <c r="C51" s="11" t="s">
        <v>53</v>
      </c>
      <c r="D51" s="12"/>
    </row>
    <row r="52" spans="2:6" ht="31.5" customHeight="1" x14ac:dyDescent="0.25">
      <c r="B52" s="10" t="s">
        <v>54</v>
      </c>
      <c r="C52" s="11" t="s">
        <v>55</v>
      </c>
      <c r="D52" s="12"/>
    </row>
    <row r="53" spans="2:6" ht="31.5" customHeight="1" x14ac:dyDescent="0.25">
      <c r="B53" s="10" t="s">
        <v>54</v>
      </c>
      <c r="C53" s="11" t="s">
        <v>56</v>
      </c>
      <c r="D53" s="12"/>
    </row>
    <row r="54" spans="2:6" ht="31.5" customHeight="1" x14ac:dyDescent="0.25">
      <c r="B54" s="10" t="s">
        <v>57</v>
      </c>
      <c r="C54" s="11" t="s">
        <v>58</v>
      </c>
      <c r="D54" s="12"/>
    </row>
    <row r="55" spans="2:6" ht="31.5" customHeight="1" x14ac:dyDescent="0.25">
      <c r="B55" s="10" t="s">
        <v>57</v>
      </c>
      <c r="C55" s="11" t="s">
        <v>59</v>
      </c>
      <c r="D55" s="12"/>
    </row>
    <row r="56" spans="2:6" ht="31.5" customHeight="1" x14ac:dyDescent="0.25">
      <c r="B56" s="10" t="s">
        <v>60</v>
      </c>
      <c r="C56" s="11" t="s">
        <v>61</v>
      </c>
      <c r="D56" s="12"/>
    </row>
    <row r="57" spans="2:6" ht="31.5" customHeight="1" thickBot="1" x14ac:dyDescent="0.25">
      <c r="B57" s="10" t="s">
        <v>62</v>
      </c>
      <c r="C57" s="11" t="s">
        <v>63</v>
      </c>
      <c r="D57" s="9" t="s">
        <v>0</v>
      </c>
      <c r="E57" s="20" t="s">
        <v>161</v>
      </c>
      <c r="F57" s="20" t="s">
        <v>163</v>
      </c>
    </row>
    <row r="58" spans="2:6" ht="25.5" customHeight="1" thickBot="1" x14ac:dyDescent="0.25">
      <c r="B58" s="4"/>
      <c r="C58" s="5" t="s">
        <v>64</v>
      </c>
      <c r="D58" s="13">
        <v>9900</v>
      </c>
      <c r="E58" s="13">
        <f>D58/1.3</f>
        <v>7615.3846153846152</v>
      </c>
      <c r="F58" s="13">
        <f>E58+F43</f>
        <v>32923.076923538458</v>
      </c>
    </row>
    <row r="61" spans="2:6" ht="25.5" customHeight="1" x14ac:dyDescent="0.2">
      <c r="B61" s="29" t="s">
        <v>160</v>
      </c>
      <c r="C61" s="29"/>
      <c r="D61" s="29"/>
      <c r="E61" s="29"/>
      <c r="F61" s="29"/>
    </row>
    <row r="62" spans="2:6" ht="37.5" customHeight="1" x14ac:dyDescent="0.2">
      <c r="B62" s="31" t="s">
        <v>65</v>
      </c>
      <c r="C62" s="31"/>
      <c r="D62" s="31"/>
      <c r="E62" s="31"/>
      <c r="F62" s="31"/>
    </row>
    <row r="63" spans="2:6" ht="21.75" customHeight="1" x14ac:dyDescent="0.2">
      <c r="B63" s="8" t="s">
        <v>10</v>
      </c>
      <c r="C63" s="8" t="s">
        <v>11</v>
      </c>
      <c r="D63" s="9" t="s">
        <v>0</v>
      </c>
      <c r="E63" s="20" t="s">
        <v>161</v>
      </c>
      <c r="F63" s="20" t="s">
        <v>163</v>
      </c>
    </row>
    <row r="64" spans="2:6" ht="31.5" customHeight="1" x14ac:dyDescent="0.25">
      <c r="B64" s="10" t="s">
        <v>66</v>
      </c>
      <c r="C64" s="11" t="s">
        <v>67</v>
      </c>
      <c r="D64" s="12"/>
    </row>
    <row r="65" spans="2:6" ht="31.5" customHeight="1" x14ac:dyDescent="0.25">
      <c r="B65" s="10" t="s">
        <v>66</v>
      </c>
      <c r="C65" s="11" t="s">
        <v>68</v>
      </c>
      <c r="D65" s="12"/>
    </row>
    <row r="66" spans="2:6" ht="31.5" customHeight="1" x14ac:dyDescent="0.25">
      <c r="B66" s="10" t="s">
        <v>69</v>
      </c>
      <c r="C66" s="11" t="s">
        <v>70</v>
      </c>
      <c r="D66" s="12"/>
    </row>
    <row r="67" spans="2:6" ht="31.5" customHeight="1" x14ac:dyDescent="0.25">
      <c r="B67" s="10" t="s">
        <v>69</v>
      </c>
      <c r="C67" s="11" t="s">
        <v>71</v>
      </c>
      <c r="D67" s="12"/>
    </row>
    <row r="68" spans="2:6" ht="31.5" customHeight="1" x14ac:dyDescent="0.25">
      <c r="B68" s="10" t="s">
        <v>72</v>
      </c>
      <c r="C68" s="11" t="s">
        <v>73</v>
      </c>
      <c r="D68" s="12"/>
    </row>
    <row r="69" spans="2:6" ht="31.5" customHeight="1" x14ac:dyDescent="0.25">
      <c r="B69" s="10" t="s">
        <v>72</v>
      </c>
      <c r="C69" s="11" t="s">
        <v>74</v>
      </c>
      <c r="D69" s="12"/>
    </row>
    <row r="70" spans="2:6" ht="31.5" customHeight="1" x14ac:dyDescent="0.25">
      <c r="B70" s="10"/>
      <c r="C70" s="11"/>
      <c r="D70" s="12"/>
    </row>
    <row r="71" spans="2:6" ht="31.5" customHeight="1" thickBot="1" x14ac:dyDescent="0.25">
      <c r="B71" s="10"/>
      <c r="C71" s="11"/>
      <c r="D71" s="9" t="s">
        <v>0</v>
      </c>
      <c r="E71" s="20" t="s">
        <v>161</v>
      </c>
      <c r="F71" s="20" t="s">
        <v>163</v>
      </c>
    </row>
    <row r="72" spans="2:6" ht="25.5" customHeight="1" thickBot="1" x14ac:dyDescent="0.25">
      <c r="B72" s="4"/>
      <c r="C72" s="5" t="s">
        <v>75</v>
      </c>
      <c r="D72" s="13">
        <v>12300</v>
      </c>
      <c r="E72" s="13">
        <f>D72/1.3</f>
        <v>9461.538461538461</v>
      </c>
      <c r="F72" s="13">
        <f>E72+F58</f>
        <v>42384.615385076919</v>
      </c>
    </row>
    <row r="75" spans="2:6" ht="31.5" customHeight="1" x14ac:dyDescent="0.2">
      <c r="B75" s="28" t="s">
        <v>76</v>
      </c>
      <c r="C75" s="28"/>
      <c r="D75" s="25">
        <f>D12+D31+D43+D58+D72</f>
        <v>57300</v>
      </c>
      <c r="E75" s="25">
        <f>SUM(E9:E74)</f>
        <v>42384.615385076919</v>
      </c>
      <c r="F75" s="25">
        <f>E75</f>
        <v>42384.615385076919</v>
      </c>
    </row>
    <row r="76" spans="2:6" x14ac:dyDescent="0.2">
      <c r="B76" s="28" t="s">
        <v>162</v>
      </c>
      <c r="C76" s="28"/>
      <c r="D76" s="25">
        <f>'Add-on opzionali'!E69</f>
        <v>34600</v>
      </c>
      <c r="E76" s="25">
        <f>D76/1.3</f>
        <v>26615.384615384613</v>
      </c>
      <c r="F76" s="25">
        <f>E76+F75</f>
        <v>69000.000000461529</v>
      </c>
    </row>
  </sheetData>
  <mergeCells count="12">
    <mergeCell ref="B15:F15"/>
    <mergeCell ref="B16:F16"/>
    <mergeCell ref="B9:F9"/>
    <mergeCell ref="B10:F10"/>
    <mergeCell ref="B76:C76"/>
    <mergeCell ref="B34:F34"/>
    <mergeCell ref="B35:F35"/>
    <mergeCell ref="B47:F47"/>
    <mergeCell ref="B62:F62"/>
    <mergeCell ref="B61:F61"/>
    <mergeCell ref="B46:F46"/>
    <mergeCell ref="B75:C7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70"/>
  <sheetViews>
    <sheetView showGridLines="0" topLeftCell="A36" zoomScaleNormal="100" workbookViewId="0">
      <selection activeCell="C79" sqref="C79"/>
    </sheetView>
  </sheetViews>
  <sheetFormatPr baseColWidth="10" defaultColWidth="8.6640625" defaultRowHeight="15" x14ac:dyDescent="0.2"/>
  <cols>
    <col min="1" max="1" width="2" customWidth="1"/>
    <col min="2" max="2" width="21.33203125" customWidth="1"/>
    <col min="3" max="3" width="26" customWidth="1"/>
    <col min="4" max="4" width="48" customWidth="1"/>
    <col min="5" max="5" width="14" customWidth="1"/>
  </cols>
  <sheetData>
    <row r="2" spans="1:5" ht="31.5" customHeight="1" x14ac:dyDescent="0.3">
      <c r="B2" s="6" t="s">
        <v>77</v>
      </c>
    </row>
    <row r="3" spans="1:5" ht="15" customHeight="1" x14ac:dyDescent="0.2">
      <c r="B3" s="38" t="s">
        <v>78</v>
      </c>
      <c r="C3" s="38"/>
      <c r="D3" s="38"/>
      <c r="E3" s="38"/>
    </row>
    <row r="4" spans="1:5" x14ac:dyDescent="0.2">
      <c r="B4" s="38"/>
      <c r="C4" s="38"/>
      <c r="D4" s="38"/>
      <c r="E4" s="38"/>
    </row>
    <row r="5" spans="1:5" ht="16" thickBot="1" x14ac:dyDescent="0.25">
      <c r="B5" s="2"/>
      <c r="C5" s="2"/>
      <c r="D5" s="2"/>
      <c r="E5" s="2"/>
    </row>
    <row r="7" spans="1:5" ht="27.75" customHeight="1" x14ac:dyDescent="0.2">
      <c r="B7" s="15" t="s">
        <v>1</v>
      </c>
      <c r="C7" s="39" t="s">
        <v>79</v>
      </c>
      <c r="D7" s="39"/>
      <c r="E7" s="16">
        <f>E15</f>
        <v>1200</v>
      </c>
    </row>
    <row r="8" spans="1:5" ht="55.5" customHeight="1" x14ac:dyDescent="0.2">
      <c r="B8" s="40" t="s">
        <v>80</v>
      </c>
      <c r="C8" s="40"/>
      <c r="D8" s="40"/>
      <c r="E8" s="40"/>
    </row>
    <row r="9" spans="1:5" ht="75.75" customHeight="1" x14ac:dyDescent="0.2">
      <c r="B9" s="38" t="s">
        <v>81</v>
      </c>
      <c r="C9" s="38"/>
      <c r="D9" s="38"/>
      <c r="E9" s="38"/>
    </row>
    <row r="10" spans="1:5" ht="21.75" customHeight="1" x14ac:dyDescent="0.2">
      <c r="A10" s="17"/>
      <c r="B10" s="8" t="s">
        <v>10</v>
      </c>
      <c r="C10" s="8" t="s">
        <v>11</v>
      </c>
      <c r="D10" s="9"/>
      <c r="E10" s="9"/>
    </row>
    <row r="11" spans="1:5" ht="27.75" customHeight="1" x14ac:dyDescent="0.2">
      <c r="B11" s="10" t="s">
        <v>82</v>
      </c>
      <c r="C11" s="37" t="s">
        <v>83</v>
      </c>
      <c r="D11" s="37"/>
      <c r="E11" s="37"/>
    </row>
    <row r="12" spans="1:5" ht="27.75" customHeight="1" x14ac:dyDescent="0.2">
      <c r="B12" s="10" t="s">
        <v>84</v>
      </c>
      <c r="C12" s="35" t="s">
        <v>85</v>
      </c>
      <c r="D12" s="35"/>
      <c r="E12" s="35"/>
    </row>
    <row r="13" spans="1:5" ht="27.75" customHeight="1" x14ac:dyDescent="0.2">
      <c r="B13" s="10" t="s">
        <v>86</v>
      </c>
      <c r="C13" s="35" t="s">
        <v>87</v>
      </c>
      <c r="D13" s="35"/>
      <c r="E13" s="35"/>
    </row>
    <row r="14" spans="1:5" ht="27.75" customHeight="1" thickBot="1" x14ac:dyDescent="0.25">
      <c r="B14" s="10" t="s">
        <v>88</v>
      </c>
      <c r="C14" s="36" t="s">
        <v>89</v>
      </c>
      <c r="D14" s="36"/>
      <c r="E14" s="36"/>
    </row>
    <row r="15" spans="1:5" ht="24" customHeight="1" thickBot="1" x14ac:dyDescent="0.25">
      <c r="B15" s="4"/>
      <c r="C15" s="5" t="s">
        <v>90</v>
      </c>
      <c r="D15" s="3">
        <f>SUM(D11:D14)</f>
        <v>0</v>
      </c>
      <c r="E15" s="13">
        <v>1200</v>
      </c>
    </row>
    <row r="17" spans="1:5" ht="27.75" customHeight="1" x14ac:dyDescent="0.2">
      <c r="B17" s="15" t="s">
        <v>2</v>
      </c>
      <c r="C17" s="39" t="s">
        <v>91</v>
      </c>
      <c r="D17" s="39"/>
      <c r="E17" s="16">
        <f>E26</f>
        <v>1500</v>
      </c>
    </row>
    <row r="18" spans="1:5" ht="55.5" customHeight="1" x14ac:dyDescent="0.2">
      <c r="B18" s="40" t="s">
        <v>92</v>
      </c>
      <c r="C18" s="40"/>
      <c r="D18" s="40"/>
      <c r="E18" s="40"/>
    </row>
    <row r="19" spans="1:5" ht="75.75" customHeight="1" x14ac:dyDescent="0.2">
      <c r="B19" s="38" t="s">
        <v>93</v>
      </c>
      <c r="C19" s="38"/>
      <c r="D19" s="38"/>
      <c r="E19" s="38"/>
    </row>
    <row r="20" spans="1:5" ht="21.75" customHeight="1" x14ac:dyDescent="0.2">
      <c r="A20" s="17"/>
      <c r="B20" s="8" t="s">
        <v>10</v>
      </c>
      <c r="C20" s="33" t="s">
        <v>11</v>
      </c>
      <c r="D20" s="33"/>
      <c r="E20" s="33"/>
    </row>
    <row r="21" spans="1:5" ht="27.75" customHeight="1" x14ac:dyDescent="0.2">
      <c r="B21" s="10" t="s">
        <v>94</v>
      </c>
      <c r="C21" s="37" t="s">
        <v>95</v>
      </c>
      <c r="D21" s="37"/>
      <c r="E21" s="37"/>
    </row>
    <row r="22" spans="1:5" ht="27.75" customHeight="1" x14ac:dyDescent="0.2">
      <c r="B22" s="10" t="s">
        <v>96</v>
      </c>
      <c r="C22" s="35" t="s">
        <v>97</v>
      </c>
      <c r="D22" s="35"/>
      <c r="E22" s="35"/>
    </row>
    <row r="23" spans="1:5" ht="27.75" customHeight="1" x14ac:dyDescent="0.2">
      <c r="B23" s="10" t="s">
        <v>98</v>
      </c>
      <c r="C23" s="35" t="s">
        <v>99</v>
      </c>
      <c r="D23" s="35"/>
      <c r="E23" s="35"/>
    </row>
    <row r="24" spans="1:5" ht="27.75" customHeight="1" x14ac:dyDescent="0.2">
      <c r="B24" s="10" t="s">
        <v>100</v>
      </c>
      <c r="C24" s="35" t="s">
        <v>101</v>
      </c>
      <c r="D24" s="35"/>
      <c r="E24" s="35"/>
    </row>
    <row r="25" spans="1:5" ht="27.75" customHeight="1" thickBot="1" x14ac:dyDescent="0.25">
      <c r="B25" s="10" t="s">
        <v>88</v>
      </c>
      <c r="C25" s="36" t="s">
        <v>102</v>
      </c>
      <c r="D25" s="36"/>
      <c r="E25" s="36"/>
    </row>
    <row r="26" spans="1:5" ht="24" customHeight="1" thickBot="1" x14ac:dyDescent="0.25">
      <c r="B26" s="4"/>
      <c r="C26" s="5" t="s">
        <v>103</v>
      </c>
      <c r="D26" s="3">
        <f>SUM(D21:D25)</f>
        <v>0</v>
      </c>
      <c r="E26" s="13">
        <v>1500</v>
      </c>
    </row>
    <row r="28" spans="1:5" ht="27.75" customHeight="1" x14ac:dyDescent="0.2">
      <c r="B28" s="15" t="s">
        <v>3</v>
      </c>
      <c r="C28" s="39" t="s">
        <v>104</v>
      </c>
      <c r="D28" s="39"/>
      <c r="E28" s="16">
        <f>E39</f>
        <v>4300</v>
      </c>
    </row>
    <row r="29" spans="1:5" ht="55.5" customHeight="1" x14ac:dyDescent="0.2">
      <c r="B29" s="40" t="s">
        <v>105</v>
      </c>
      <c r="C29" s="40"/>
      <c r="D29" s="40"/>
      <c r="E29" s="40"/>
    </row>
    <row r="30" spans="1:5" ht="75.75" customHeight="1" x14ac:dyDescent="0.2">
      <c r="B30" s="38" t="s">
        <v>106</v>
      </c>
      <c r="C30" s="38"/>
      <c r="D30" s="38"/>
      <c r="E30" s="38"/>
    </row>
    <row r="31" spans="1:5" ht="21.75" customHeight="1" x14ac:dyDescent="0.2">
      <c r="A31" s="17"/>
      <c r="B31" s="8" t="s">
        <v>10</v>
      </c>
      <c r="C31" s="33" t="s">
        <v>11</v>
      </c>
      <c r="D31" s="33"/>
      <c r="E31" s="33"/>
    </row>
    <row r="32" spans="1:5" ht="27.75" customHeight="1" x14ac:dyDescent="0.2">
      <c r="B32" s="10" t="s">
        <v>107</v>
      </c>
      <c r="C32" s="37" t="s">
        <v>108</v>
      </c>
      <c r="D32" s="37"/>
      <c r="E32" s="37"/>
    </row>
    <row r="33" spans="1:5" ht="27.75" customHeight="1" x14ac:dyDescent="0.2">
      <c r="B33" s="10" t="s">
        <v>109</v>
      </c>
      <c r="C33" s="35" t="s">
        <v>110</v>
      </c>
      <c r="D33" s="35"/>
      <c r="E33" s="35"/>
    </row>
    <row r="34" spans="1:5" ht="27.75" customHeight="1" x14ac:dyDescent="0.2">
      <c r="B34" s="10" t="s">
        <v>111</v>
      </c>
      <c r="C34" s="35" t="s">
        <v>112</v>
      </c>
      <c r="D34" s="35"/>
      <c r="E34" s="35"/>
    </row>
    <row r="35" spans="1:5" ht="27.75" customHeight="1" x14ac:dyDescent="0.2">
      <c r="B35" s="10" t="s">
        <v>113</v>
      </c>
      <c r="C35" s="35" t="s">
        <v>114</v>
      </c>
      <c r="D35" s="35"/>
      <c r="E35" s="35"/>
    </row>
    <row r="36" spans="1:5" ht="27.75" customHeight="1" x14ac:dyDescent="0.2">
      <c r="B36" s="10" t="s">
        <v>115</v>
      </c>
      <c r="C36" s="35" t="s">
        <v>116</v>
      </c>
      <c r="D36" s="35"/>
      <c r="E36" s="35"/>
    </row>
    <row r="37" spans="1:5" ht="27.75" customHeight="1" x14ac:dyDescent="0.2">
      <c r="B37" s="10" t="s">
        <v>117</v>
      </c>
      <c r="C37" s="35" t="s">
        <v>118</v>
      </c>
      <c r="D37" s="35"/>
      <c r="E37" s="35"/>
    </row>
    <row r="38" spans="1:5" ht="27.75" customHeight="1" thickBot="1" x14ac:dyDescent="0.25">
      <c r="B38" s="10" t="s">
        <v>119</v>
      </c>
      <c r="C38" s="36" t="s">
        <v>120</v>
      </c>
      <c r="D38" s="36"/>
      <c r="E38" s="36"/>
    </row>
    <row r="39" spans="1:5" ht="24" customHeight="1" thickBot="1" x14ac:dyDescent="0.25">
      <c r="B39" s="4"/>
      <c r="C39" s="5" t="s">
        <v>121</v>
      </c>
      <c r="D39" s="3">
        <f>SUM(D32:D38)</f>
        <v>0</v>
      </c>
      <c r="E39" s="13">
        <v>4300</v>
      </c>
    </row>
    <row r="41" spans="1:5" ht="27.75" customHeight="1" x14ac:dyDescent="0.2">
      <c r="B41" s="15" t="s">
        <v>4</v>
      </c>
      <c r="C41" s="39" t="s">
        <v>122</v>
      </c>
      <c r="D41" s="39"/>
      <c r="E41" s="16">
        <f>E53</f>
        <v>16800</v>
      </c>
    </row>
    <row r="42" spans="1:5" ht="55.5" customHeight="1" x14ac:dyDescent="0.2">
      <c r="B42" s="40" t="s">
        <v>123</v>
      </c>
      <c r="C42" s="40"/>
      <c r="D42" s="40"/>
      <c r="E42" s="40"/>
    </row>
    <row r="43" spans="1:5" ht="75.75" customHeight="1" x14ac:dyDescent="0.2">
      <c r="B43" s="38" t="s">
        <v>124</v>
      </c>
      <c r="C43" s="38"/>
      <c r="D43" s="38"/>
      <c r="E43" s="38"/>
    </row>
    <row r="44" spans="1:5" ht="21.75" customHeight="1" x14ac:dyDescent="0.2">
      <c r="A44" s="17"/>
      <c r="B44" s="8" t="s">
        <v>10</v>
      </c>
      <c r="C44" s="33" t="s">
        <v>11</v>
      </c>
      <c r="D44" s="33"/>
      <c r="E44" s="33"/>
    </row>
    <row r="45" spans="1:5" ht="27.75" customHeight="1" x14ac:dyDescent="0.2">
      <c r="B45" s="10" t="s">
        <v>125</v>
      </c>
      <c r="C45" s="37" t="s">
        <v>126</v>
      </c>
      <c r="D45" s="37"/>
      <c r="E45" s="37"/>
    </row>
    <row r="46" spans="1:5" ht="27.75" customHeight="1" x14ac:dyDescent="0.2">
      <c r="B46" s="10" t="s">
        <v>127</v>
      </c>
      <c r="C46" s="35" t="s">
        <v>128</v>
      </c>
      <c r="D46" s="35"/>
      <c r="E46" s="35"/>
    </row>
    <row r="47" spans="1:5" ht="27.75" customHeight="1" x14ac:dyDescent="0.2">
      <c r="B47" s="10" t="s">
        <v>12</v>
      </c>
      <c r="C47" s="35" t="s">
        <v>129</v>
      </c>
      <c r="D47" s="35"/>
      <c r="E47" s="35"/>
    </row>
    <row r="48" spans="1:5" ht="27.75" customHeight="1" x14ac:dyDescent="0.2">
      <c r="B48" s="10" t="s">
        <v>130</v>
      </c>
      <c r="C48" s="35" t="s">
        <v>131</v>
      </c>
      <c r="D48" s="35"/>
      <c r="E48" s="35"/>
    </row>
    <row r="49" spans="1:5" ht="27.75" customHeight="1" x14ac:dyDescent="0.2">
      <c r="B49" s="10" t="s">
        <v>132</v>
      </c>
      <c r="C49" s="35" t="s">
        <v>133</v>
      </c>
      <c r="D49" s="35"/>
      <c r="E49" s="35"/>
    </row>
    <row r="50" spans="1:5" ht="27.75" customHeight="1" x14ac:dyDescent="0.2">
      <c r="B50" s="10" t="s">
        <v>134</v>
      </c>
      <c r="C50" s="35" t="s">
        <v>135</v>
      </c>
      <c r="D50" s="35"/>
      <c r="E50" s="35"/>
    </row>
    <row r="51" spans="1:5" ht="27.75" customHeight="1" x14ac:dyDescent="0.2">
      <c r="B51" s="10" t="s">
        <v>136</v>
      </c>
      <c r="C51" s="35" t="s">
        <v>137</v>
      </c>
      <c r="D51" s="35"/>
      <c r="E51" s="35"/>
    </row>
    <row r="52" spans="1:5" ht="27.75" customHeight="1" thickBot="1" x14ac:dyDescent="0.25">
      <c r="B52" s="10" t="s">
        <v>138</v>
      </c>
      <c r="C52" s="36" t="s">
        <v>139</v>
      </c>
      <c r="D52" s="36"/>
      <c r="E52" s="36"/>
    </row>
    <row r="53" spans="1:5" ht="24" customHeight="1" thickBot="1" x14ac:dyDescent="0.25">
      <c r="B53" s="4"/>
      <c r="C53" s="5" t="s">
        <v>140</v>
      </c>
      <c r="D53" s="3">
        <f>SUM(D45:D52)</f>
        <v>0</v>
      </c>
      <c r="E53" s="13">
        <v>16800</v>
      </c>
    </row>
    <row r="55" spans="1:5" ht="27.75" customHeight="1" x14ac:dyDescent="0.2">
      <c r="B55" s="15" t="s">
        <v>5</v>
      </c>
      <c r="C55" s="39" t="s">
        <v>141</v>
      </c>
      <c r="D55" s="39"/>
      <c r="E55" s="16">
        <f>E66</f>
        <v>10800</v>
      </c>
    </row>
    <row r="56" spans="1:5" ht="55.5" customHeight="1" x14ac:dyDescent="0.2">
      <c r="B56" s="40" t="s">
        <v>142</v>
      </c>
      <c r="C56" s="40"/>
      <c r="D56" s="40"/>
      <c r="E56" s="40"/>
    </row>
    <row r="57" spans="1:5" ht="75.75" customHeight="1" x14ac:dyDescent="0.2">
      <c r="B57" s="38" t="s">
        <v>143</v>
      </c>
      <c r="C57" s="38"/>
      <c r="D57" s="38"/>
      <c r="E57" s="38"/>
    </row>
    <row r="58" spans="1:5" ht="21.75" customHeight="1" x14ac:dyDescent="0.2">
      <c r="A58" s="17"/>
      <c r="B58" s="8" t="s">
        <v>10</v>
      </c>
      <c r="C58" s="33" t="s">
        <v>11</v>
      </c>
      <c r="D58" s="33"/>
      <c r="E58" s="33"/>
    </row>
    <row r="59" spans="1:5" ht="27.75" customHeight="1" x14ac:dyDescent="0.2">
      <c r="B59" s="10" t="s">
        <v>144</v>
      </c>
      <c r="C59" s="37" t="s">
        <v>145</v>
      </c>
      <c r="D59" s="37"/>
      <c r="E59" s="37"/>
    </row>
    <row r="60" spans="1:5" ht="27.75" customHeight="1" x14ac:dyDescent="0.2">
      <c r="B60" s="10" t="s">
        <v>146</v>
      </c>
      <c r="C60" s="35" t="s">
        <v>147</v>
      </c>
      <c r="D60" s="35"/>
      <c r="E60" s="35"/>
    </row>
    <row r="61" spans="1:5" ht="27.75" customHeight="1" x14ac:dyDescent="0.2">
      <c r="B61" s="10" t="s">
        <v>148</v>
      </c>
      <c r="C61" s="35" t="s">
        <v>149</v>
      </c>
      <c r="D61" s="35"/>
      <c r="E61" s="35"/>
    </row>
    <row r="62" spans="1:5" ht="27.75" customHeight="1" x14ac:dyDescent="0.2">
      <c r="B62" s="10" t="s">
        <v>150</v>
      </c>
      <c r="C62" s="35" t="s">
        <v>151</v>
      </c>
      <c r="D62" s="35"/>
      <c r="E62" s="35"/>
    </row>
    <row r="63" spans="1:5" ht="27.75" customHeight="1" x14ac:dyDescent="0.2">
      <c r="B63" s="10" t="s">
        <v>152</v>
      </c>
      <c r="C63" s="35" t="s">
        <v>153</v>
      </c>
      <c r="D63" s="35"/>
      <c r="E63" s="35"/>
    </row>
    <row r="64" spans="1:5" ht="27.75" customHeight="1" x14ac:dyDescent="0.2">
      <c r="B64" s="10" t="s">
        <v>154</v>
      </c>
      <c r="C64" s="35" t="s">
        <v>155</v>
      </c>
      <c r="D64" s="35"/>
      <c r="E64" s="35"/>
    </row>
    <row r="65" spans="2:5" ht="27.75" customHeight="1" thickBot="1" x14ac:dyDescent="0.25">
      <c r="B65" s="10" t="s">
        <v>156</v>
      </c>
      <c r="C65" s="36" t="s">
        <v>157</v>
      </c>
      <c r="D65" s="36"/>
      <c r="E65" s="36"/>
    </row>
    <row r="66" spans="2:5" ht="24" customHeight="1" thickBot="1" x14ac:dyDescent="0.25">
      <c r="B66" s="4"/>
      <c r="C66" s="5" t="s">
        <v>158</v>
      </c>
      <c r="D66" s="3">
        <f>SUM(D59:D65)</f>
        <v>0</v>
      </c>
      <c r="E66" s="13">
        <v>10800</v>
      </c>
    </row>
    <row r="69" spans="2:5" ht="30" customHeight="1" x14ac:dyDescent="0.2">
      <c r="B69" s="34" t="s">
        <v>159</v>
      </c>
      <c r="C69" s="34"/>
      <c r="D69" s="34"/>
      <c r="E69" s="14">
        <f>E15+E26+E39+E53+E66</f>
        <v>34600</v>
      </c>
    </row>
    <row r="70" spans="2:5" ht="19" x14ac:dyDescent="0.2">
      <c r="B70" s="34" t="s">
        <v>164</v>
      </c>
      <c r="C70" s="34"/>
      <c r="D70" s="34"/>
      <c r="E70" s="14">
        <f>E69/1.3</f>
        <v>26615.384615384613</v>
      </c>
    </row>
  </sheetData>
  <mergeCells count="53">
    <mergeCell ref="B3:E4"/>
    <mergeCell ref="C7:D7"/>
    <mergeCell ref="B8:E8"/>
    <mergeCell ref="B9:E9"/>
    <mergeCell ref="C17:D17"/>
    <mergeCell ref="C11:E11"/>
    <mergeCell ref="C12:E12"/>
    <mergeCell ref="C13:E13"/>
    <mergeCell ref="C14:E14"/>
    <mergeCell ref="C61:E61"/>
    <mergeCell ref="C62:E62"/>
    <mergeCell ref="B18:E18"/>
    <mergeCell ref="B19:E19"/>
    <mergeCell ref="C28:D28"/>
    <mergeCell ref="B29:E29"/>
    <mergeCell ref="B30:E30"/>
    <mergeCell ref="C21:E21"/>
    <mergeCell ref="C22:E22"/>
    <mergeCell ref="C23:E23"/>
    <mergeCell ref="C24:E24"/>
    <mergeCell ref="C25:E25"/>
    <mergeCell ref="C35:E35"/>
    <mergeCell ref="C36:E36"/>
    <mergeCell ref="B57:E57"/>
    <mergeCell ref="B69:D69"/>
    <mergeCell ref="C41:D41"/>
    <mergeCell ref="B42:E42"/>
    <mergeCell ref="B43:E43"/>
    <mergeCell ref="C55:D55"/>
    <mergeCell ref="B56:E56"/>
    <mergeCell ref="C48:E48"/>
    <mergeCell ref="C49:E49"/>
    <mergeCell ref="C50:E50"/>
    <mergeCell ref="C51:E51"/>
    <mergeCell ref="C52:E52"/>
    <mergeCell ref="C59:E59"/>
    <mergeCell ref="C60:E60"/>
    <mergeCell ref="C31:E31"/>
    <mergeCell ref="C20:E20"/>
    <mergeCell ref="B70:D70"/>
    <mergeCell ref="C63:E63"/>
    <mergeCell ref="C64:E64"/>
    <mergeCell ref="C65:E65"/>
    <mergeCell ref="C58:E58"/>
    <mergeCell ref="C44:E44"/>
    <mergeCell ref="C37:E37"/>
    <mergeCell ref="C38:E38"/>
    <mergeCell ref="C45:E45"/>
    <mergeCell ref="C46:E46"/>
    <mergeCell ref="C47:E47"/>
    <mergeCell ref="C32:E32"/>
    <mergeCell ref="C33:E33"/>
    <mergeCell ref="C34:E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Stima per area di lavoro</vt:lpstr>
      <vt:lpstr>Add-on opzionali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Carlo Sanvoisin</cp:lastModifiedBy>
  <cp:revision>0</cp:revision>
  <dcterms:created xsi:type="dcterms:W3CDTF">2026-04-21T20:25:35Z</dcterms:created>
  <dcterms:modified xsi:type="dcterms:W3CDTF">2026-05-21T17:52:44Z</dcterms:modified>
  <dc:language>en-US</dc:language>
</cp:coreProperties>
</file>
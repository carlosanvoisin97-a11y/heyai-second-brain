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arlosanvoisin/claude/20 - Projects/Futuritaly/Angelini Academy/"/>
    </mc:Choice>
  </mc:AlternateContent>
  <xr:revisionPtr revIDLastSave="0" documentId="13_ncr:1_{AC26C1C5-B734-0241-A0B5-3B6BAFCAE9E2}" xr6:coauthVersionLast="47" xr6:coauthVersionMax="47" xr10:uidLastSave="{00000000-0000-0000-0000-000000000000}"/>
  <bookViews>
    <workbookView xWindow="0" yWindow="600" windowWidth="28800" windowHeight="16200" activeTab="2" xr2:uid="{00000000-000D-0000-FFFF-FFFF00000000}"/>
  </bookViews>
  <sheets>
    <sheet name="00_README" sheetId="1" r:id="rId1"/>
    <sheet name="01_Master_Catalog" sheetId="2" r:id="rId2"/>
    <sheet name="02_Pricing_Detail" sheetId="3" r:id="rId3"/>
    <sheet name="03_Pacchetti_Commerciali" sheetId="4" r:id="rId4"/>
    <sheet name="04_Bundle_Sconti" sheetId="5" r:id="rId5"/>
    <sheet name="05_Scenari_Vendita" sheetId="6" r:id="rId6"/>
    <sheet name="06_Variables" sheetId="7" r:id="rId7"/>
  </sheets>
  <definedNames>
    <definedName name="_xlnm._FilterDatabase" localSheetId="1" hidden="1">'01_Master_Catalog'!$A$3:$G$30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4" l="1"/>
  <c r="E17" i="3"/>
  <c r="F25" i="6" l="1"/>
  <c r="E25" i="6"/>
  <c r="D25" i="6"/>
  <c r="C25" i="6"/>
  <c r="F24" i="6"/>
  <c r="E24" i="6"/>
  <c r="D24" i="6"/>
  <c r="C24" i="6"/>
  <c r="F23" i="6"/>
  <c r="F26" i="6" s="1"/>
  <c r="E23" i="6"/>
  <c r="E26" i="6" s="1"/>
  <c r="D23" i="6"/>
  <c r="D26" i="6" s="1"/>
  <c r="C23" i="6"/>
  <c r="C26" i="6" s="1"/>
  <c r="B24" i="5"/>
  <c r="B23" i="5"/>
  <c r="B18" i="5"/>
  <c r="B17" i="5"/>
  <c r="B16" i="5"/>
  <c r="B9" i="5"/>
  <c r="D8" i="5"/>
  <c r="C8" i="5"/>
  <c r="D7" i="5"/>
  <c r="D9" i="5" s="1"/>
  <c r="D10" i="5" s="1"/>
  <c r="C7" i="5"/>
  <c r="D6" i="5"/>
  <c r="E23" i="3"/>
  <c r="E22" i="3"/>
  <c r="E21" i="3"/>
  <c r="E16" i="3"/>
  <c r="E15" i="3"/>
  <c r="E14" i="3"/>
  <c r="E13" i="3"/>
  <c r="E12" i="3"/>
  <c r="E11" i="3"/>
  <c r="E10" i="3"/>
  <c r="E9" i="3"/>
  <c r="E8" i="3"/>
  <c r="E7" i="3"/>
  <c r="E6" i="3"/>
  <c r="E5" i="3"/>
</calcChain>
</file>

<file path=xl/sharedStrings.xml><?xml version="1.0" encoding="utf-8"?>
<sst xmlns="http://schemas.openxmlformats.org/spreadsheetml/2006/main" count="707" uniqueCount="426">
  <si>
    <t>Pricing Detail — Calcoli per ogni voce</t>
  </si>
  <si>
    <t>Effort, costo, prezzo cliente. NO assunzioni FuturItaly · NO margini. Modifica solo celle gialle/blu.</t>
  </si>
  <si>
    <t>Codice</t>
  </si>
  <si>
    <t>Servizio</t>
  </si>
  <si>
    <t>Effort g/u HeyAI</t>
  </si>
  <si>
    <t>Effort g/u FuturItaly</t>
  </si>
  <si>
    <t>Costo HeyAI (calc)</t>
  </si>
  <si>
    <t>Costo FuturItaly (TBD)</t>
  </si>
  <si>
    <t>Prezzo cliente proposto</t>
  </si>
  <si>
    <t>Note pricing</t>
  </si>
  <si>
    <t>P1.0</t>
  </si>
  <si>
    <t>Riallineamento sito attuale</t>
  </si>
  <si>
    <t>—</t>
  </si>
  <si>
    <t>Minimo indispensabile · copy + foto + 1-2 sezioni</t>
  </si>
  <si>
    <t>P1.1</t>
  </si>
  <si>
    <t>Sito nuovo pubblico (Fase 2)</t>
  </si>
  <si>
    <t>P1.A</t>
  </si>
  <si>
    <t>Studio strategico CJ + analisi mercato</t>
  </si>
  <si>
    <t>P1.B</t>
  </si>
  <si>
    <t>4 MVP AI verticali</t>
  </si>
  <si>
    <t>P1.C.1</t>
  </si>
  <si>
    <t>Area Riservata Semplice</t>
  </si>
  <si>
    <t>P1.C.2</t>
  </si>
  <si>
    <t>Area Riservata Avanzata (upgrade)</t>
  </si>
  <si>
    <t>PLR per singolo utente · sub-aree</t>
  </si>
  <si>
    <t>P1.D</t>
  </si>
  <si>
    <t>Community Engaged Network (3 feature MVP)</t>
  </si>
  <si>
    <t>P1.E</t>
  </si>
  <si>
    <t>Analytics + Dashboard interna</t>
  </si>
  <si>
    <t>Native su dati sito · no integrazioni esterne</t>
  </si>
  <si>
    <t>P1.F</t>
  </si>
  <si>
    <t>Landing eventi pubblici (media per landing)</t>
  </si>
  <si>
    <t>Range €5-10k per landing · valore mid usato</t>
  </si>
  <si>
    <t>P1.G</t>
  </si>
  <si>
    <t>Landing eventi interni (media per landing)</t>
  </si>
  <si>
    <t>Range €5-10k per landing · richiede P1.C attivata</t>
  </si>
  <si>
    <t>P1.H</t>
  </si>
  <si>
    <t>SEO avanzata (una tantum)</t>
  </si>
  <si>
    <t>Una tantum · benchmark Italia</t>
  </si>
  <si>
    <t>P1.J</t>
  </si>
  <si>
    <t>Analytics setup base GA4+Plausible</t>
  </si>
  <si>
    <t>Setup tecnico + eventi conversion</t>
  </si>
  <si>
    <t>P1.K</t>
  </si>
  <si>
    <t>Integrazione tecnica email marketing</t>
  </si>
  <si>
    <t>Solo connessione form sito → piattaforma email</t>
  </si>
  <si>
    <t>P2.0B</t>
  </si>
  <si>
    <t>Batch iniziale contenuti (workshop incluso)</t>
  </si>
  <si>
    <t xml:space="preserve">workshop co-design con cliente + 8 articoli + 8 video pillole + sezioni sito associate + 5 founder stories + 5 alumni stories + press kit </t>
  </si>
  <si>
    <t>P2.0C</t>
  </si>
  <si>
    <t>Regia Editoriale &amp; Content Creation continuativo mensile</t>
  </si>
  <si>
    <t xml:space="preserve">PM incluso · copywriting incluso (3 articoli + 3 video pillole + sezioni sito associate + 1 founder + 1 alumni </t>
  </si>
  <si>
    <t>P2.1</t>
  </si>
  <si>
    <t>PM &amp; Operations</t>
  </si>
  <si>
    <t>INCLUSO DI DEFAULT in P2.0C · ore extra on-demand su richiesta</t>
  </si>
  <si>
    <t>P2.A</t>
  </si>
  <si>
    <t>Gestione LinkedIn Academy mensile</t>
  </si>
  <si>
    <t>€4.5k/mese · organic + paid · NO community management · budget media a parte</t>
  </si>
  <si>
    <t>P2.BS</t>
  </si>
  <si>
    <t>Email marketing setup</t>
  </si>
  <si>
    <t>Setup piattaforma + 5 segmentazioni + template + 1-2 automation</t>
  </si>
  <si>
    <t>P2.BC</t>
  </si>
  <si>
    <t>Email marketing continuativo mensile</t>
  </si>
  <si>
    <t>1-2 campagne segmentate/mese · drip · A/B leggero · reporting</t>
  </si>
  <si>
    <t>P2.C1</t>
  </si>
  <si>
    <t>Integrazione CRM (su richiesta)</t>
  </si>
  <si>
    <t>TBD</t>
  </si>
  <si>
    <t>Quotato a parte su richiesta</t>
  </si>
  <si>
    <t>P2.C2</t>
  </si>
  <si>
    <t>Gateway pagamento (su richiesta)</t>
  </si>
  <si>
    <t>P3.A</t>
  </si>
  <si>
    <t>P3.B</t>
  </si>
  <si>
    <t>P3.C</t>
  </si>
  <si>
    <t>P4.A</t>
  </si>
  <si>
    <t>Concept video promo</t>
  </si>
  <si>
    <t>Su quotazione su richiesta</t>
  </si>
  <si>
    <t>P4.B</t>
  </si>
  <si>
    <t>Concept brochure</t>
  </si>
  <si>
    <t>P4.C</t>
  </si>
  <si>
    <t>Concept scouting gadget</t>
  </si>
  <si>
    <t>Catalogo Servizi e Pricing — Angelini Academy (v3)</t>
  </si>
  <si>
    <t>Documento di lavoro per:</t>
  </si>
  <si>
    <t>Carlo Sanvoisin (HeyAI)</t>
  </si>
  <si>
    <t>Partner economics:</t>
  </si>
  <si>
    <t>Daniele Caporale + Elena Chiti (FuturItaly)</t>
  </si>
  <si>
    <t>Cliente target:</t>
  </si>
  <si>
    <t>Angelini Academy (Angelini Industries — Communication &amp; Brand)</t>
  </si>
  <si>
    <t>Data versione:</t>
  </si>
  <si>
    <t>Maggio 2026 — v3 (post-audit completo)</t>
  </si>
  <si>
    <t>Status:</t>
  </si>
  <si>
    <t>Working draft v3 · prezzi consolidati post audit dettagliato</t>
  </si>
  <si>
    <t>MODIFICHE v3 rispetto a v2</t>
  </si>
  <si>
    <t>P1.1 Sito nuovo Full</t>
  </si>
  <si>
    <t>€24.000 → €22.000 (margine 17-26%)</t>
  </si>
  <si>
    <t>P1.B 4 MVP AI</t>
  </si>
  <si>
    <t>€29.000 → €12.000 (MVP super-light · 1 agente adattivo + CPN)</t>
  </si>
  <si>
    <t>P1.C.1 Area Riservata Semplice</t>
  </si>
  <si>
    <t>€5.500 → €4.500 (benchmark login €500 + dashboard)</t>
  </si>
  <si>
    <t>P2.BS Email setup</t>
  </si>
  <si>
    <t>€1.500 → €1.800 (era sotto costo)</t>
  </si>
  <si>
    <t>P2.BC Email continuativo</t>
  </si>
  <si>
    <t>€1.300 → €1.500/mese (margine ragionevole)</t>
  </si>
  <si>
    <t>P2.0B Batch contenuti</t>
  </si>
  <si>
    <t>Confermato €7.000 con scope full Carlo (sotto costo consapevole)</t>
  </si>
  <si>
    <t>P2.0C Continuativo</t>
  </si>
  <si>
    <t>Confermato €2.100/mese (sotto costo consapevole · scope ricco)</t>
  </si>
  <si>
    <t>Tariffa HeyAI</t>
  </si>
  <si>
    <t>Confermata €650/giorno</t>
  </si>
  <si>
    <t>Effort g/u</t>
  </si>
  <si>
    <t>Ricalcolato bottom-up per ogni voce post audit</t>
  </si>
  <si>
    <t>MODIFICHE v2 rispetto a v1</t>
  </si>
  <si>
    <t>Master Catalog</t>
  </si>
  <si>
    <t>Solo 7 colonne (rimosse V3 Brief, V4 Priorità, V6 Fase)</t>
  </si>
  <si>
    <t>Pricing Detail</t>
  </si>
  <si>
    <t>Solo 8 colonne (rimossi Margine € e Margine %)</t>
  </si>
  <si>
    <t>Variables</t>
  </si>
  <si>
    <t>Rimosse tariffe FuturItaly, markup FuturItaly, margini target HeyAI</t>
  </si>
  <si>
    <t>€650/giorno (era €750)</t>
  </si>
  <si>
    <t>Nomenclatura</t>
  </si>
  <si>
    <t>Regia Editoriale &amp; Content Creation · Batch iniziale contenuti (workshop incluso)</t>
  </si>
  <si>
    <t>Owner Community Engaged Network</t>
  </si>
  <si>
    <t>Solo HeyAI (non più Congiunto)</t>
  </si>
  <si>
    <t>Accessibility</t>
  </si>
  <si>
    <t>RIMOSSA come add-on</t>
  </si>
  <si>
    <t>P1.1 Sito nuovo</t>
  </si>
  <si>
    <t>€24.000 (target tuo · era €28.000)</t>
  </si>
  <si>
    <t>P1.C.1 / P1.C.2 / P1.D</t>
  </si>
  <si>
    <t>Prezzi abbassati con nuovo razionale benchmark</t>
  </si>
  <si>
    <t>Foglio Call Elena</t>
  </si>
  <si>
    <t>RIMOSSO dall'Excel · disponibile come specchietto in chat</t>
  </si>
  <si>
    <t>INDICE FOGLI</t>
  </si>
  <si>
    <t>00_README</t>
  </si>
  <si>
    <t>Guida (questo foglio)</t>
  </si>
  <si>
    <t>01_Master_Catalog</t>
  </si>
  <si>
    <t>Catalogo completo dei servizi su 7 variabili strategiche</t>
  </si>
  <si>
    <t>02_Pricing_Detail</t>
  </si>
  <si>
    <t>Effort + costo + prezzo cliente per ogni voce (formule live)</t>
  </si>
  <si>
    <t>03_Pacchetti_Commerciali</t>
  </si>
  <si>
    <t>Struttura commerciale: P1 SITO · P2 EDIT&amp;SOCIAL · P3 FUTURITALY · P4 KIT</t>
  </si>
  <si>
    <t>04_Bundle_Sconti</t>
  </si>
  <si>
    <t>Sconti bundle progressive, volume add-on, lock-in continuativi</t>
  </si>
  <si>
    <t>05_Scenari_Vendita</t>
  </si>
  <si>
    <t>Entry · Standard · Premium + selector custom</t>
  </si>
  <si>
    <t>06_Variables</t>
  </si>
  <si>
    <t>Parametri modificabili (tariffe, sconti)</t>
  </si>
  <si>
    <t>LEGENDA COLORI</t>
  </si>
  <si>
    <t>Blu (testo) + sfondo giallo</t>
  </si>
  <si>
    <t>Input modificabile — cambia qui per scenari</t>
  </si>
  <si>
    <t>Nero (testo)</t>
  </si>
  <si>
    <t>Formula automatica — NON modificare</t>
  </si>
  <si>
    <t>Verde (testo)</t>
  </si>
  <si>
    <t>Link cross-foglio</t>
  </si>
  <si>
    <t>Sfondo teal scuro</t>
  </si>
  <si>
    <t>Header tabella</t>
  </si>
  <si>
    <t>VARIABILI MASTER</t>
  </si>
  <si>
    <t>€650/giorno (vedi 06_Variables)</t>
  </si>
  <si>
    <t>Sconto bundle Fase 1+2</t>
  </si>
  <si>
    <t>−5% sulla Fase 2</t>
  </si>
  <si>
    <t>Sconto bundle 1+2+3 completo</t>
  </si>
  <si>
    <t>−5% F2 + −10% F3</t>
  </si>
  <si>
    <t>Sconto volume add-on</t>
  </si>
  <si>
    <t>−5% (3 add-on) · −10% (4+) · −15% (tutti)</t>
  </si>
  <si>
    <t>Sconto lock-in continuativi</t>
  </si>
  <si>
    <t>−5% (12 mesi) · −10% (24 mesi)</t>
  </si>
  <si>
    <t>USO TIPICO</t>
  </si>
  <si>
    <t>1. Riflessione pricing</t>
  </si>
  <si>
    <t>Cambia tariffa/sconti in 06_Variables · vedi impatto in 02_Pricing_Detail</t>
  </si>
  <si>
    <t>2. Validazione effort con Michele</t>
  </si>
  <si>
    <t>Modifica effort g/u (giallo) in 02_Pricing_Detail</t>
  </si>
  <si>
    <t>3. Costruzione scenari cliente</t>
  </si>
  <si>
    <t>Apri 05_Scenari_Vendita · compila colonna 'Custom' con 1/0</t>
  </si>
  <si>
    <t>4. Negoziazione finale</t>
  </si>
  <si>
    <t>Modifica sconti in 04_Bundle_Sconti · scenari si ricalcolano</t>
  </si>
  <si>
    <t>FUTURITALY — NOTE OPERATIVE</t>
  </si>
  <si>
    <t>Prezzi P3</t>
  </si>
  <si>
    <t>Tutti TBD — i prezzi verranno forniti direttamente da FuturItaly</t>
  </si>
  <si>
    <t>Tariffe FuturItaly</t>
  </si>
  <si>
    <t>NON inserite in questo Excel — Carlo le discute direttamente con Elena</t>
  </si>
  <si>
    <t>Margini</t>
  </si>
  <si>
    <t>NON inseriti — riservati alla discussione interna Carlo / Elena</t>
  </si>
  <si>
    <t>Catalogo Master — Tutti i servizi classificati</t>
  </si>
  <si>
    <t>7 variabili strategiche · filtri attivi · ordinato per pacchetto</t>
  </si>
  <si>
    <t>Sottovoci / Cosa include</t>
  </si>
  <si>
    <t>V1 Owner</t>
  </si>
  <si>
    <t>V2 Natura</t>
  </si>
  <si>
    <t>V5 Tipo</t>
  </si>
  <si>
    <t>Pacchetto</t>
  </si>
  <si>
    <t>Riallineamento sito attuale (Fase 1)</t>
  </si>
  <si>
    <t>Refresh visivo · cambio copy minimo · cambio foto · 1-2 sezioni nuove · supporto pre-Festival Trento</t>
  </si>
  <si>
    <t>HeyAI</t>
  </si>
  <si>
    <t>Core</t>
  </si>
  <si>
    <t>Progetto</t>
  </si>
  <si>
    <t>P1 SITO</t>
  </si>
  <si>
    <t>17 route · 5 percorsi (Talent · Researcher · HR&amp;B · Imprese · Media) · MBA Gateway · Engaged Research preview · Founder Stories · Blog 3 stream · Eventi · Press · Chi Siamo · Contatti · Form base raccolta richieste · CMS · bilinguismo IT/EN · GDPR · hosting · QA · handover · PM 1g/sett</t>
  </si>
  <si>
    <t>Studio strategico Customer Journey + analisi mercato</t>
  </si>
  <si>
    <t>Analisi 5 personas approfondita · journey mapping per persona · analisi mercato a supporto · documento strategico · prerequisito raccomandato P1.1</t>
  </si>
  <si>
    <t>4 MVP Intelligenza Artificiale verticali</t>
  </si>
  <si>
    <t>Tutor (contenuti Academy) · Reading Room (paper Engaged Research) · Career Path Navigator (percorso 5 personas) · Research Engine MVP (ricerca semantica) · LLM API + prompt eng + UI conversazionale + guardrail</t>
  </si>
  <si>
    <t>Login dipendenti Gruppo · area unica senza differenziazione tenant · sezioni statiche · MVP minimo</t>
  </si>
  <si>
    <t>Area Riservata Avanzata (upgrade da C.1)</t>
  </si>
  <si>
    <t>Login singolo utente · Personal Learning Record (track record corsi · progressi · suggerimenti per dipendente) · sub-aree dedicate</t>
  </si>
  <si>
    <t>Community Engaged Network</t>
  </si>
  <si>
    <t>3 feature MVP: Paper Discussion Threads + Position Paper drafting collaborativo + Career Path Tracker · Hub editoriale community-only · riuso auth da C.1/C.2 · NO AI Co-pilot · NO Quiz pedagogico</t>
  </si>
  <si>
    <t>Analytics native + Dashboard team interno</t>
  </si>
  <si>
    <t>Dashboard custom su dati nativi sito · metriche audience · conversione per persona · NO integrazioni esterne</t>
  </si>
  <si>
    <t>Landing eventi pubblici</t>
  </si>
  <si>
    <t>Per evento: design landing dedicata · form registrazione · esperienza interattiva · lead capture · attivabile anche prima del sito nuovo</t>
  </si>
  <si>
    <t>On-demand</t>
  </si>
  <si>
    <t>Landing eventi interni</t>
  </si>
  <si>
    <t>Per evento: stessa logica di F ma con login richiesto · richiede P1.C.1 o P1.C.2 attivata</t>
  </si>
  <si>
    <t>SEO avanzata + topic authority</t>
  </si>
  <si>
    <t>15 keyword priority mappate · long-tail dominance pedagogia/edTech · schema markup avanzato · content brief per autori · monitoring 3 mesi opzionale</t>
  </si>
  <si>
    <t>Complementare</t>
  </si>
  <si>
    <t>Analytics setup base (GA4 + Plausible)</t>
  </si>
  <si>
    <t>Setup GA4 + Plausible · eventi conversion · funnel tracking · dashboard segmentato per persona</t>
  </si>
  <si>
    <t>Collegamento form sito → piattaforma email (Mailchimp/Brevo/HubSpot) · DNS records · NO setup campagne</t>
  </si>
  <si>
    <t>Workshop strategia + ToV applicato · editorial calendar primo trimestre · copywriting completo sito Fase 2 · press kit produzione iniziale (one-pager + boilerplate + bio + brand assets + fact sheet + template) · 2 Founder Stories iniziali</t>
  </si>
  <si>
    <t>P2 EDIT&amp;SOCIAL</t>
  </si>
  <si>
    <t>Regia Editoriale &amp; Content Creation continuativo</t>
  </si>
  <si>
    <t>2-3 articoli blog/mese (3 stream Identità · Ricerca · Programmi) · 1 paper Engaged Research → sezione web · video pillole ricercatori 1-2/trim · storie alumni 1/trim · press kit aggiornamento bimestrale/trim · coordinamento + reportistica · copywriting incluso · PM incluso</t>
  </si>
  <si>
    <t>Continuativo</t>
  </si>
  <si>
    <t>INCLUSO DI DEFAULT in P2.0C · ~15h/mese coordinamento + reportistica + review · ore extra on-demand su richiesta</t>
  </si>
  <si>
    <t>Gestione LinkedIn Academy integrata</t>
  </si>
  <si>
    <t>LinkedIn organic (4-8 post/mese) · LinkedIn paid setup + ottimizzazione · piano editoriale · creazione visual social card · reporting mensile · NO community management · budget media a carico cliente</t>
  </si>
  <si>
    <t>Satellite</t>
  </si>
  <si>
    <t>Email marketing — Setup</t>
  </si>
  <si>
    <t>Setup piattaforma (Mailchimp/Brevo/HubSpot) · 5 segmentazioni personas · template email (newsletter + welcome drip) · 1-2 automation iniziali · documentazione + training cliente</t>
  </si>
  <si>
    <t>Email marketing — Continuativo</t>
  </si>
  <si>
    <t>Campagne segmentate per persona · drip · ottimizzazione · reporting · 5 segmentazioni · email transazionali su richiesta</t>
  </si>
  <si>
    <t>Integrazione tecnica form sito → CRM cliente (HubSpot/Salesforce/altro) · lead scoring · routing automatico verso commerciale</t>
  </si>
  <si>
    <t>Gateway pagamento corsi (su richiesta)</t>
  </si>
  <si>
    <t>Integrazione gateway (Stripe/PayPal) per acquisto online programmi formativi a pagamento · checkout · ricevute</t>
  </si>
  <si>
    <t>Sviluppo contatti accademici prima ondata</t>
  </si>
  <si>
    <t>9 atenei IT/EU/UK (Padova · Bologna · KU Leuven · RWTH Aachen · Leibniz · TUM · Cambridge DEFI · UCL Knowledge Lab · Open University IET) · outreach · prima call · valutazione partnership</t>
  </si>
  <si>
    <t>FuturItaly</t>
  </si>
  <si>
    <t>P3 FUTURITALY</t>
  </si>
  <si>
    <t>Sviluppo contatti accademici seconda ondata</t>
  </si>
  <si>
    <t>4 atenei USA/CN (Carnegie Mellon HCII · Georgia Tech · Beijing Normal SLI · Tsinghua THUSE)</t>
  </si>
  <si>
    <t>Pre-screening + accompagnamento bandi UE</t>
  </si>
  <si>
    <t>5 bandi UE mappati (Horizon MSCA-Cofund · Doctoral Networks · RIA lump sum · Citizens · Erasmus+) · supporto stesura candidatura · monitoring · fino al 100% fondo perduto</t>
  </si>
  <si>
    <t>Concept creativo video promo Academy</t>
  </si>
  <si>
    <t>Regia + storyboard · esecuzione esterna · opzionale (cliente probabilmente ha fornitore)</t>
  </si>
  <si>
    <t>P4 KIT COMM</t>
  </si>
  <si>
    <t>Concept design brochure presentazione</t>
  </si>
  <si>
    <t>Layout + impostazione grafica · stampa esterna · opzionale</t>
  </si>
  <si>
    <t>Concept scouting gadget personalizzati</t>
  </si>
  <si>
    <t>Concept + scouting fornitori produzione esterna · opzionale</t>
  </si>
  <si>
    <t>Pacchetti Commerciali — struttura di vendita finale</t>
  </si>
  <si>
    <t>4 pacchetti: P1 SITO · P2 EDIT&amp;SOCIAL · P3 FUTURITALY · P4 KIT</t>
  </si>
  <si>
    <t>P1 — SITO WEB</t>
  </si>
  <si>
    <t>Voce</t>
  </si>
  <si>
    <t>Tipologia</t>
  </si>
  <si>
    <t>Prezzo proposto</t>
  </si>
  <si>
    <t>Note</t>
  </si>
  <si>
    <t>Nucleo (alternative)</t>
  </si>
  <si>
    <t>Progetto Fase 1</t>
  </si>
  <si>
    <t>€ 6.000</t>
  </si>
  <si>
    <t>Entry minimo · pre-Festival Trento</t>
  </si>
  <si>
    <t>Sito web pubblico nuovo (Fase 2)</t>
  </si>
  <si>
    <t>Progetto Fase 2</t>
  </si>
  <si>
    <t>€ 22.000</t>
  </si>
  <si>
    <t>NUCLEO sito Full con CMS · 2-3 mesi delivery</t>
  </si>
  <si>
    <t>Add-on modulari</t>
  </si>
  <si>
    <t>Pre-F2</t>
  </si>
  <si>
    <t>€ 4.000</t>
  </si>
  <si>
    <t>Prerequisito raccomandato se P1.1</t>
  </si>
  <si>
    <t>4 MVP Intelligenza Artificiale</t>
  </si>
  <si>
    <t>F2</t>
  </si>
  <si>
    <t>€ 12.000</t>
  </si>
  <si>
    <t>MVP super-light · benchmark sviluppatore €8k/agente con riuso</t>
  </si>
  <si>
    <t>€ 4.500</t>
  </si>
  <si>
    <t>Login + area unica · MVP minimo</t>
  </si>
  <si>
    <t>€ 11.000</t>
  </si>
  <si>
    <t>PLR per singolo utente · richiede C.1</t>
  </si>
  <si>
    <t>F3 Q1 2027</t>
  </si>
  <si>
    <t>€ 15.000</t>
  </si>
  <si>
    <t>3 feature MVP · riuso auth</t>
  </si>
  <si>
    <t>Native dati sito</t>
  </si>
  <si>
    <t>€ 5.000-10.000 cad</t>
  </si>
  <si>
    <t>Range per landing</t>
  </si>
  <si>
    <t>Richiede P1.C</t>
  </si>
  <si>
    <t>Add-on</t>
  </si>
  <si>
    <t>€ 5.000</t>
  </si>
  <si>
    <t>Una tantum</t>
  </si>
  <si>
    <t>Analytics setup GA4+Plausible</t>
  </si>
  <si>
    <t>€ 3.000</t>
  </si>
  <si>
    <t>Integrazione email marketing</t>
  </si>
  <si>
    <t>€ 2.500</t>
  </si>
  <si>
    <t>Tecnica · solo collegamento</t>
  </si>
  <si>
    <t>P2 — EDITORIALE, SOCIAL &amp; OPERATIONS</t>
  </si>
  <si>
    <t>Nucleo</t>
  </si>
  <si>
    <t>Progetto una tantum</t>
  </si>
  <si>
    <t>Range · mid €10k</t>
  </si>
  <si>
    <t>Canone mensile</t>
  </si>
  <si>
    <t>€ 2.100/mese</t>
  </si>
  <si>
    <t>Copywriting incluso · PM incluso</t>
  </si>
  <si>
    <t>Default</t>
  </si>
  <si>
    <t>INCLUSO</t>
  </si>
  <si>
    <t>Compreso in P2.0C (~15h/mese)</t>
  </si>
  <si>
    <t>Add-on continuativi</t>
  </si>
  <si>
    <t>Gestione LinkedIn Academy (organic+paid)</t>
  </si>
  <si>
    <t>€ 4.500/mese</t>
  </si>
  <si>
    <t>Budget media a parte cliente</t>
  </si>
  <si>
    <t>€ 1.800</t>
  </si>
  <si>
    <t>€ 1.500/mese</t>
  </si>
  <si>
    <t>Su richiesta</t>
  </si>
  <si>
    <t>Integrazione CRM</t>
  </si>
  <si>
    <t>Su quotazione</t>
  </si>
  <si>
    <t>Gateway pagamento corsi</t>
  </si>
  <si>
    <t>P3 — RETE ACCADEMICA &amp; FINANZA AGEVOLATA (FuturItaly)</t>
  </si>
  <si>
    <t>Sviluppo contatti accademici — prima ondata</t>
  </si>
  <si>
    <t>TBD FuturItaly</t>
  </si>
  <si>
    <t>9 atenei IT/EU/UK</t>
  </si>
  <si>
    <t>Sviluppo contatti accademici — seconda ondata</t>
  </si>
  <si>
    <t>4 atenei USA/CN · post 12 mesi</t>
  </si>
  <si>
    <t>Per bando · 5 bandi mappati · fino 100% fondo perduto</t>
  </si>
  <si>
    <t>P4 — KIT COMUNICAZIONE ESTERNA (opzionale)</t>
  </si>
  <si>
    <t>Concept video promo Academy</t>
  </si>
  <si>
    <t>Cliente forse ha fornitore</t>
  </si>
  <si>
    <t>Concept design brochure</t>
  </si>
  <si>
    <t>Bundle &amp; Sconti — logica commerciale</t>
  </si>
  <si>
    <t>Tutti gli sconti modificabili in 06_Variables.</t>
  </si>
  <si>
    <t>BUNDLE COMPLETO 1+2+3 (sito + community)</t>
  </si>
  <si>
    <t>Prezzo base</t>
  </si>
  <si>
    <t>Sconto</t>
  </si>
  <si>
    <t>Prezzo finale</t>
  </si>
  <si>
    <t>Fase 1 Riallineamento (P1.0)</t>
  </si>
  <si>
    <t>Fase 2 Sito nuovo (P1.1) − 5% bundle 1+2</t>
  </si>
  <si>
    <t>Fase 3 Community (P1.D) − 10% bundle completo</t>
  </si>
  <si>
    <t>TOTALE Bundle Completo F1+F2+F3</t>
  </si>
  <si>
    <t>Risparmio vs fasi sciolte</t>
  </si>
  <si>
    <t>SCONTI VOLUME ADD-ON P1</t>
  </si>
  <si>
    <t>N add-on</t>
  </si>
  <si>
    <t>Sconto applicato</t>
  </si>
  <si>
    <t>Esempio</t>
  </si>
  <si>
    <t>Add-on a prezzo pieno</t>
  </si>
  <si>
    <t>−5% su tutti gli add-on scelti</t>
  </si>
  <si>
    <t>4+</t>
  </si>
  <si>
    <t>−10% su tutti gli add-on scelti</t>
  </si>
  <si>
    <t>Tutti</t>
  </si>
  <si>
    <t>−15% bundle ecosistema completo</t>
  </si>
  <si>
    <t>SCONTI LOCK-IN CONTINUATIVI P2</t>
  </si>
  <si>
    <t>Durata impegno</t>
  </si>
  <si>
    <t>Sconto sul canone mensile</t>
  </si>
  <si>
    <t>6 mesi (min raccomandato)</t>
  </si>
  <si>
    <t>Nessuno sconto · vincolo minimo</t>
  </si>
  <si>
    <t>12 mesi</t>
  </si>
  <si>
    <t>−5% su canone</t>
  </si>
  <si>
    <t>24 mesi</t>
  </si>
  <si>
    <t>−10% su canone</t>
  </si>
  <si>
    <t>Scenari di Vendita — 3 livelli + selector custom</t>
  </si>
  <si>
    <t>Scenari su 12 mesi · per scenario custom usa colonna 'Custom' con 1/0</t>
  </si>
  <si>
    <t>Prezzo unitario</t>
  </si>
  <si>
    <t>Entry</t>
  </si>
  <si>
    <t>Standard</t>
  </si>
  <si>
    <t>Premium</t>
  </si>
  <si>
    <t>Custom (1/0)</t>
  </si>
  <si>
    <t>P1.0 — Riallineamento sito attuale</t>
  </si>
  <si>
    <t>P1.1 — Sito nuovo pubblico (Fase 2)</t>
  </si>
  <si>
    <t>P1.A — Studio strategico CJ</t>
  </si>
  <si>
    <t>P1.B — 4 MVP Intelligenza Artificiale</t>
  </si>
  <si>
    <t>P1.C.1 — Area Riservata Semplice</t>
  </si>
  <si>
    <t>P1.C.2 — Area Riservata Avanzata (upgrade)</t>
  </si>
  <si>
    <t>P1.D — Community Engaged Network</t>
  </si>
  <si>
    <t>P1.E — Analytics + Dashboard</t>
  </si>
  <si>
    <t>P1.F — Landing eventi pubblici (3 landing)</t>
  </si>
  <si>
    <t>P1.G — Landing eventi interni (3 landing)</t>
  </si>
  <si>
    <t>P1.H — SEO avanzata</t>
  </si>
  <si>
    <t>P1.J — Analytics setup GA4+Plausible</t>
  </si>
  <si>
    <t>P1.K — Integrazione email marketing</t>
  </si>
  <si>
    <t>P2.0B — Batch iniziale contenuti</t>
  </si>
  <si>
    <t>P2.0C ×12 — Regia Editoriale &amp; Content Creation 12m</t>
  </si>
  <si>
    <t>P2.A ×12 — LinkedIn 12 mesi</t>
  </si>
  <si>
    <t>P2.BS — Email marketing setup</t>
  </si>
  <si>
    <t>P2.BC ×12 — Email marketing 12 mesi</t>
  </si>
  <si>
    <t>SUBTOTALE HeyAI</t>
  </si>
  <si>
    <t>Sconto bundle 1+2 (se P1.0 e P1.1 entrambi)</t>
  </si>
  <si>
    <t>Sconto bundle 1+2+3 (se F3 incluso)</t>
  </si>
  <si>
    <t>🎯 TOTALE Scenario (HeyAI puro, 12 mesi)</t>
  </si>
  <si>
    <t>+ FuturItaly P3 (rete + bandi)</t>
  </si>
  <si>
    <t>+ Kit comunicazione esterna P4 (su richiesta)</t>
  </si>
  <si>
    <t>DESCRIZIONE SCENARI</t>
  </si>
  <si>
    <t>ENTRY</t>
  </si>
  <si>
    <t>P1.0 Riallineamento + P2.0C continuativo 12m + P2.A LinkedIn 12m. Cliente che vuole minimo intervento.</t>
  </si>
  <si>
    <t>STANDARD</t>
  </si>
  <si>
    <t>Bundle 1+2 (riallineamento + sito nuovo) + P1.A studio CJ + P1.B AI MVP + P2.0B batch + continuativi 12m. Cliente che vuole sito nuovo + ecosistema base.</t>
  </si>
  <si>
    <t>PREMIUM</t>
  </si>
  <si>
    <t>STANDARD + P1.C.1 area riservata + P1.D community + P1.E analytics + P1.F 3 landing pubbliche + P1.H SEO + P2.BS email setup + P2.BC continuativo. Ecosistema completo.</t>
  </si>
  <si>
    <t>CUSTOM</t>
  </si>
  <si>
    <t>Compila colonna 'Custom' con 1/0 per voci che vuoi includere. Totale si aggiorna automaticamente.</t>
  </si>
  <si>
    <t>Variabili e parametri master</t>
  </si>
  <si>
    <t>Tutti gli input modificabili (gialli/blu). Cambia qui · tutto il modello si aggiorna.</t>
  </si>
  <si>
    <t>Parametro</t>
  </si>
  <si>
    <t>Valore</t>
  </si>
  <si>
    <t>Unità</t>
  </si>
  <si>
    <t>TARIFFE GIORNALIERE</t>
  </si>
  <si>
    <t>Tariffa HeyAI €/giorno</t>
  </si>
  <si>
    <t>€</t>
  </si>
  <si>
    <t>Mid-senior agency Italia 2026 con AI assistance</t>
  </si>
  <si>
    <t>SCONTI BUNDLE SITO</t>
  </si>
  <si>
    <t>Sconto Fase 2 se bundle 1+2</t>
  </si>
  <si>
    <t>%</t>
  </si>
  <si>
    <t>Quando F1 e F2 firmate insieme</t>
  </si>
  <si>
    <t>Sconto Fase 3 se bundle 1+2+3</t>
  </si>
  <si>
    <t>Quando tutte 3 fasi firmate insieme</t>
  </si>
  <si>
    <t>Soglia per attivare sconto add-on</t>
  </si>
  <si>
    <t>n</t>
  </si>
  <si>
    <t>Sconto se 3 add-on</t>
  </si>
  <si>
    <t>Sconto se 4+ add-on</t>
  </si>
  <si>
    <t>Sconto bundle ecosistema completo (tutti add-on)</t>
  </si>
  <si>
    <t>Sconto lock-in 12 mesi</t>
  </si>
  <si>
    <t>Sul canone mensile</t>
  </si>
  <si>
    <t>Sconto lock-in 24 mesi</t>
  </si>
  <si>
    <t>PARAMETRI DELIVERY</t>
  </si>
  <si>
    <t>Durata target sito nuovo (mesi)</t>
  </si>
  <si>
    <t>mesi</t>
  </si>
  <si>
    <t>2-3 mesi</t>
  </si>
  <si>
    <t>Giornata-uomo PM Carlo/settimana</t>
  </si>
  <si>
    <t>g/sett</t>
  </si>
  <si>
    <t>PM dedicato durante delivery</t>
  </si>
  <si>
    <t>Lock-in min raccomandato continuativi</t>
  </si>
  <si>
    <t>Validità offerta</t>
  </si>
  <si>
    <t>giorni</t>
  </si>
  <si>
    <t>Da data emissione</t>
  </si>
  <si>
    <t xml:space="preserve">FULL con CMS </t>
  </si>
  <si>
    <t>MVP super-light: 1 agente adattivo con KB diverse + master prompt + CPN rule-based ·</t>
  </si>
  <si>
    <t xml:space="preserve"> MVP 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</si>
</sst>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€&quot;\ #,##0"/>
    <numFmt numFmtId="166" formatCode="0.0%"/>
    <numFmt numFmtId="167" formatCode="&quot;€&quot;\ #,##0;[Red]\(&quot;€&quot;\ #,##0\)"/>
    <numFmt numFmtId="168" formatCode="[$€-2]\ #,##0;[Red]\-[$€-2]\ #,##0"/>
  </numFmts>
  <fonts count="24" x14ac:knownFonts="1">
    <font>
      <sz val="11"/>
      <color theme="1"/>
      <name val="Calibri"/>
      <family val="2"/>
      <scheme val="minor"/>
    </font>
    <font>
      <b/>
      <sz val="16"/>
      <color rgb="FF2B8C96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i/>
      <sz val="9"/>
      <color rgb="FF606060"/>
      <name val="Arial"/>
      <family val="2"/>
    </font>
    <font>
      <b/>
      <sz val="11"/>
      <color rgb="FFFFFFFF"/>
      <name val="Arial"/>
      <family val="2"/>
    </font>
    <font>
      <b/>
      <sz val="10"/>
      <color rgb="FF0000FF"/>
      <name val="Arial"/>
      <family val="2"/>
    </font>
    <font>
      <b/>
      <sz val="10"/>
      <color rgb="FF156082"/>
      <name val="Arial"/>
      <family val="2"/>
    </font>
    <font>
      <b/>
      <sz val="9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2B8C96"/>
      <name val="Arial"/>
      <family val="2"/>
    </font>
    <font>
      <b/>
      <sz val="12"/>
      <color rgb="FF156082"/>
      <name val="Arial"/>
      <family val="2"/>
    </font>
    <font>
      <b/>
      <sz val="10"/>
      <color rgb="FFC58800"/>
      <name val="Arial"/>
      <family val="2"/>
    </font>
    <font>
      <b/>
      <sz val="10"/>
      <color rgb="FF009000"/>
      <name val="Arial"/>
      <family val="2"/>
    </font>
    <font>
      <b/>
      <sz val="12"/>
      <color rgb="FFFFFFFF"/>
      <name val="Arial"/>
      <family val="2"/>
    </font>
    <font>
      <b/>
      <sz val="10"/>
      <color rgb="FF0000FF"/>
      <name val="Arial"/>
      <family val="2"/>
    </font>
    <font>
      <b/>
      <sz val="10"/>
      <color rgb="FF2B8C96"/>
      <name val="Arial"/>
      <family val="2"/>
    </font>
    <font>
      <i/>
      <sz val="9"/>
      <color rgb="FF60606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DF2F7"/>
      </patternFill>
    </fill>
    <fill>
      <patternFill patternType="solid">
        <fgColor rgb="FF1F3A4D"/>
      </patternFill>
    </fill>
    <fill>
      <patternFill patternType="solid">
        <fgColor rgb="FFFFFFCC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2B8C96"/>
      </patternFill>
    </fill>
    <fill>
      <patternFill patternType="solid">
        <fgColor rgb="FFFFFFCC"/>
      </patternFill>
    </fill>
    <fill>
      <patternFill patternType="solid">
        <fgColor rgb="FFEDF2F7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8" fillId="4" borderId="1" xfId="0" applyNumberFormat="1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5" fontId="12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165" fontId="11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center" wrapText="1"/>
    </xf>
    <xf numFmtId="165" fontId="6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right" vertical="center"/>
    </xf>
    <xf numFmtId="0" fontId="13" fillId="0" borderId="0" xfId="0" applyFont="1"/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/>
    <xf numFmtId="165" fontId="8" fillId="4" borderId="1" xfId="0" applyNumberFormat="1" applyFont="1" applyFill="1" applyBorder="1"/>
    <xf numFmtId="166" fontId="6" fillId="0" borderId="1" xfId="0" applyNumberFormat="1" applyFont="1" applyBorder="1"/>
    <xf numFmtId="165" fontId="3" fillId="0" borderId="1" xfId="0" applyNumberFormat="1" applyFont="1" applyBorder="1"/>
    <xf numFmtId="166" fontId="11" fillId="0" borderId="1" xfId="0" applyNumberFormat="1" applyFont="1" applyBorder="1"/>
    <xf numFmtId="0" fontId="5" fillId="2" borderId="1" xfId="0" applyFont="1" applyFill="1" applyBorder="1"/>
    <xf numFmtId="165" fontId="5" fillId="2" borderId="1" xfId="0" applyNumberFormat="1" applyFont="1" applyFill="1" applyBorder="1"/>
    <xf numFmtId="0" fontId="0" fillId="0" borderId="1" xfId="0" applyBorder="1"/>
    <xf numFmtId="165" fontId="12" fillId="2" borderId="1" xfId="0" applyNumberFormat="1" applyFont="1" applyFill="1" applyBorder="1"/>
    <xf numFmtId="165" fontId="15" fillId="0" borderId="1" xfId="0" applyNumberFormat="1" applyFont="1" applyBorder="1"/>
    <xf numFmtId="0" fontId="6" fillId="0" borderId="1" xfId="0" applyFont="1" applyBorder="1"/>
    <xf numFmtId="165" fontId="8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right" vertical="center"/>
    </xf>
    <xf numFmtId="167" fontId="11" fillId="0" borderId="1" xfId="0" applyNumberFormat="1" applyFont="1" applyBorder="1" applyAlignment="1">
      <alignment horizontal="right" vertical="center"/>
    </xf>
    <xf numFmtId="0" fontId="7" fillId="10" borderId="1" xfId="0" applyFont="1" applyFill="1" applyBorder="1"/>
    <xf numFmtId="165" fontId="16" fillId="10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5" fillId="0" borderId="1" xfId="0" applyFont="1" applyBorder="1"/>
    <xf numFmtId="166" fontId="8" fillId="4" borderId="1" xfId="0" applyNumberFormat="1" applyFont="1" applyFill="1" applyBorder="1" applyAlignment="1">
      <alignment horizontal="right" vertical="center"/>
    </xf>
    <xf numFmtId="1" fontId="8" fillId="4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168" fontId="12" fillId="0" borderId="1" xfId="0" applyNumberFormat="1" applyFont="1" applyBorder="1" applyAlignment="1">
      <alignment horizontal="right" vertical="center"/>
    </xf>
    <xf numFmtId="0" fontId="21" fillId="12" borderId="0" xfId="0" applyFont="1" applyFill="1"/>
    <xf numFmtId="0" fontId="22" fillId="0" borderId="0" xfId="0" applyFont="1"/>
    <xf numFmtId="0" fontId="23" fillId="0" borderId="0" xfId="0" applyFont="1"/>
    <xf numFmtId="164" fontId="17" fillId="11" borderId="1" xfId="0" applyNumberFormat="1" applyFont="1" applyFill="1" applyBorder="1" applyAlignment="1">
      <alignment horizontal="center" vertical="center"/>
    </xf>
    <xf numFmtId="165" fontId="18" fillId="11" borderId="1" xfId="0" applyNumberFormat="1" applyFont="1" applyFill="1" applyBorder="1" applyAlignment="1">
      <alignment horizontal="right" vertical="center"/>
    </xf>
    <xf numFmtId="0" fontId="19" fillId="6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vertical="center" wrapText="1"/>
    </xf>
    <xf numFmtId="168" fontId="18" fillId="0" borderId="1" xfId="0" applyNumberFormat="1" applyFont="1" applyBorder="1" applyAlignment="1">
      <alignment horizontal="right" vertical="center"/>
    </xf>
    <xf numFmtId="165" fontId="17" fillId="11" borderId="1" xfId="0" applyNumberFormat="1" applyFont="1" applyFill="1" applyBorder="1"/>
    <xf numFmtId="165" fontId="17" fillId="11" borderId="1" xfId="0" applyNumberFormat="1" applyFont="1" applyFill="1" applyBorder="1" applyAlignment="1">
      <alignment horizontal="right" vertical="center"/>
    </xf>
    <xf numFmtId="0" fontId="5" fillId="2" borderId="0" xfId="0" applyFont="1" applyFill="1"/>
    <xf numFmtId="0" fontId="0" fillId="0" borderId="0" xfId="0"/>
    <xf numFmtId="0" fontId="3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/>
    <xf numFmtId="0" fontId="3" fillId="13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showGridLines="0" topLeftCell="A24" workbookViewId="0"/>
  </sheetViews>
  <sheetFormatPr baseColWidth="10" defaultColWidth="8.83203125" defaultRowHeight="15" x14ac:dyDescent="0.2"/>
  <cols>
    <col min="1" max="1" width="42" customWidth="1"/>
    <col min="2" max="2" width="80" customWidth="1"/>
  </cols>
  <sheetData>
    <row r="1" spans="1:2" ht="28" customHeight="1" x14ac:dyDescent="0.2">
      <c r="A1" s="1" t="s">
        <v>79</v>
      </c>
    </row>
    <row r="3" spans="1:2" x14ac:dyDescent="0.2">
      <c r="A3" s="2"/>
      <c r="B3" s="3"/>
    </row>
    <row r="4" spans="1:2" x14ac:dyDescent="0.2">
      <c r="A4" s="4" t="s">
        <v>80</v>
      </c>
      <c r="B4" s="3" t="s">
        <v>81</v>
      </c>
    </row>
    <row r="5" spans="1:2" x14ac:dyDescent="0.2">
      <c r="A5" s="4" t="s">
        <v>82</v>
      </c>
      <c r="B5" s="3" t="s">
        <v>83</v>
      </c>
    </row>
    <row r="6" spans="1:2" x14ac:dyDescent="0.2">
      <c r="A6" s="4" t="s">
        <v>84</v>
      </c>
      <c r="B6" s="3" t="s">
        <v>85</v>
      </c>
    </row>
    <row r="7" spans="1:2" x14ac:dyDescent="0.2">
      <c r="A7" s="4" t="s">
        <v>86</v>
      </c>
      <c r="B7" s="3" t="s">
        <v>87</v>
      </c>
    </row>
    <row r="8" spans="1:2" x14ac:dyDescent="0.2">
      <c r="A8" s="4" t="s">
        <v>88</v>
      </c>
      <c r="B8" s="3" t="s">
        <v>89</v>
      </c>
    </row>
    <row r="9" spans="1:2" x14ac:dyDescent="0.2">
      <c r="A9" s="2"/>
      <c r="B9" s="3"/>
    </row>
    <row r="10" spans="1:2" x14ac:dyDescent="0.2">
      <c r="A10" s="62" t="s">
        <v>90</v>
      </c>
    </row>
    <row r="11" spans="1:2" x14ac:dyDescent="0.2">
      <c r="A11" s="63" t="s">
        <v>91</v>
      </c>
      <c r="B11" s="64" t="s">
        <v>92</v>
      </c>
    </row>
    <row r="12" spans="1:2" x14ac:dyDescent="0.2">
      <c r="A12" s="63" t="s">
        <v>93</v>
      </c>
      <c r="B12" s="64" t="s">
        <v>94</v>
      </c>
    </row>
    <row r="13" spans="1:2" x14ac:dyDescent="0.2">
      <c r="A13" s="63" t="s">
        <v>95</v>
      </c>
      <c r="B13" s="64" t="s">
        <v>96</v>
      </c>
    </row>
    <row r="14" spans="1:2" x14ac:dyDescent="0.2">
      <c r="A14" s="63" t="s">
        <v>97</v>
      </c>
      <c r="B14" s="64" t="s">
        <v>98</v>
      </c>
    </row>
    <row r="15" spans="1:2" x14ac:dyDescent="0.2">
      <c r="A15" s="63" t="s">
        <v>99</v>
      </c>
      <c r="B15" s="64" t="s">
        <v>100</v>
      </c>
    </row>
    <row r="16" spans="1:2" x14ac:dyDescent="0.2">
      <c r="A16" s="63" t="s">
        <v>101</v>
      </c>
      <c r="B16" s="64" t="s">
        <v>102</v>
      </c>
    </row>
    <row r="17" spans="1:2" x14ac:dyDescent="0.2">
      <c r="A17" s="63" t="s">
        <v>103</v>
      </c>
      <c r="B17" s="64" t="s">
        <v>104</v>
      </c>
    </row>
    <row r="18" spans="1:2" x14ac:dyDescent="0.2">
      <c r="A18" s="63" t="s">
        <v>105</v>
      </c>
      <c r="B18" s="64" t="s">
        <v>106</v>
      </c>
    </row>
    <row r="19" spans="1:2" x14ac:dyDescent="0.2">
      <c r="A19" s="63" t="s">
        <v>107</v>
      </c>
      <c r="B19" s="64" t="s">
        <v>108</v>
      </c>
    </row>
    <row r="20" spans="1:2" x14ac:dyDescent="0.2">
      <c r="A20" s="4" t="s">
        <v>109</v>
      </c>
      <c r="B20" s="3"/>
    </row>
    <row r="21" spans="1:2" x14ac:dyDescent="0.2">
      <c r="A21" s="4" t="s">
        <v>110</v>
      </c>
      <c r="B21" s="3" t="s">
        <v>111</v>
      </c>
    </row>
    <row r="22" spans="1:2" x14ac:dyDescent="0.2">
      <c r="A22" s="4" t="s">
        <v>112</v>
      </c>
      <c r="B22" s="3" t="s">
        <v>113</v>
      </c>
    </row>
    <row r="23" spans="1:2" x14ac:dyDescent="0.2">
      <c r="A23" s="4" t="s">
        <v>114</v>
      </c>
      <c r="B23" s="3" t="s">
        <v>115</v>
      </c>
    </row>
    <row r="24" spans="1:2" x14ac:dyDescent="0.2">
      <c r="A24" s="4" t="s">
        <v>105</v>
      </c>
      <c r="B24" s="3" t="s">
        <v>116</v>
      </c>
    </row>
    <row r="25" spans="1:2" x14ac:dyDescent="0.2">
      <c r="A25" s="4" t="s">
        <v>117</v>
      </c>
      <c r="B25" s="3" t="s">
        <v>118</v>
      </c>
    </row>
    <row r="26" spans="1:2" x14ac:dyDescent="0.2">
      <c r="A26" s="4" t="s">
        <v>119</v>
      </c>
      <c r="B26" s="3" t="s">
        <v>120</v>
      </c>
    </row>
    <row r="27" spans="1:2" x14ac:dyDescent="0.2">
      <c r="A27" s="4" t="s">
        <v>121</v>
      </c>
      <c r="B27" s="3" t="s">
        <v>122</v>
      </c>
    </row>
    <row r="28" spans="1:2" x14ac:dyDescent="0.2">
      <c r="A28" s="4" t="s">
        <v>123</v>
      </c>
      <c r="B28" s="3" t="s">
        <v>124</v>
      </c>
    </row>
    <row r="29" spans="1:2" x14ac:dyDescent="0.2">
      <c r="A29" s="5" t="s">
        <v>125</v>
      </c>
      <c r="B29" s="3" t="s">
        <v>126</v>
      </c>
    </row>
    <row r="30" spans="1:2" x14ac:dyDescent="0.2">
      <c r="A30" s="4" t="s">
        <v>127</v>
      </c>
      <c r="B30" s="3" t="s">
        <v>128</v>
      </c>
    </row>
    <row r="31" spans="1:2" x14ac:dyDescent="0.2">
      <c r="A31" s="2"/>
      <c r="B31" s="3"/>
    </row>
    <row r="32" spans="1:2" x14ac:dyDescent="0.2">
      <c r="A32" s="5" t="s">
        <v>129</v>
      </c>
      <c r="B32" s="3"/>
    </row>
    <row r="33" spans="1:2" x14ac:dyDescent="0.2">
      <c r="A33" s="5" t="s">
        <v>130</v>
      </c>
      <c r="B33" s="3" t="s">
        <v>131</v>
      </c>
    </row>
    <row r="34" spans="1:2" x14ac:dyDescent="0.2">
      <c r="A34" s="4" t="s">
        <v>132</v>
      </c>
      <c r="B34" s="3" t="s">
        <v>133</v>
      </c>
    </row>
    <row r="35" spans="1:2" x14ac:dyDescent="0.2">
      <c r="A35" s="4" t="s">
        <v>134</v>
      </c>
      <c r="B35" s="3" t="s">
        <v>135</v>
      </c>
    </row>
    <row r="36" spans="1:2" x14ac:dyDescent="0.2">
      <c r="A36" s="4" t="s">
        <v>136</v>
      </c>
      <c r="B36" s="3" t="s">
        <v>137</v>
      </c>
    </row>
    <row r="37" spans="1:2" x14ac:dyDescent="0.2">
      <c r="A37" s="4" t="s">
        <v>138</v>
      </c>
      <c r="B37" s="3" t="s">
        <v>139</v>
      </c>
    </row>
    <row r="38" spans="1:2" x14ac:dyDescent="0.2">
      <c r="A38" s="4" t="s">
        <v>140</v>
      </c>
      <c r="B38" s="3" t="s">
        <v>141</v>
      </c>
    </row>
    <row r="39" spans="1:2" x14ac:dyDescent="0.2">
      <c r="A39" s="4" t="s">
        <v>142</v>
      </c>
      <c r="B39" s="3" t="s">
        <v>143</v>
      </c>
    </row>
    <row r="40" spans="1:2" x14ac:dyDescent="0.2">
      <c r="A40" s="2"/>
      <c r="B40" s="3"/>
    </row>
    <row r="41" spans="1:2" x14ac:dyDescent="0.2">
      <c r="A41" s="5" t="s">
        <v>144</v>
      </c>
      <c r="B41" s="3"/>
    </row>
    <row r="42" spans="1:2" x14ac:dyDescent="0.2">
      <c r="A42" s="4" t="s">
        <v>145</v>
      </c>
      <c r="B42" s="3" t="s">
        <v>146</v>
      </c>
    </row>
    <row r="43" spans="1:2" x14ac:dyDescent="0.2">
      <c r="A43" s="4" t="s">
        <v>147</v>
      </c>
      <c r="B43" s="3" t="s">
        <v>148</v>
      </c>
    </row>
    <row r="44" spans="1:2" x14ac:dyDescent="0.2">
      <c r="A44" s="4" t="s">
        <v>149</v>
      </c>
      <c r="B44" s="3" t="s">
        <v>150</v>
      </c>
    </row>
    <row r="45" spans="1:2" x14ac:dyDescent="0.2">
      <c r="A45" s="4" t="s">
        <v>151</v>
      </c>
      <c r="B45" s="3" t="s">
        <v>152</v>
      </c>
    </row>
    <row r="46" spans="1:2" x14ac:dyDescent="0.2">
      <c r="A46" s="2"/>
      <c r="B46" s="3"/>
    </row>
    <row r="47" spans="1:2" x14ac:dyDescent="0.2">
      <c r="A47" s="5" t="s">
        <v>153</v>
      </c>
      <c r="B47" s="3"/>
    </row>
    <row r="48" spans="1:2" x14ac:dyDescent="0.2">
      <c r="A48" s="4" t="s">
        <v>105</v>
      </c>
      <c r="B48" s="3" t="s">
        <v>154</v>
      </c>
    </row>
    <row r="49" spans="1:2" x14ac:dyDescent="0.2">
      <c r="A49" s="4" t="s">
        <v>155</v>
      </c>
      <c r="B49" s="3" t="s">
        <v>156</v>
      </c>
    </row>
    <row r="50" spans="1:2" x14ac:dyDescent="0.2">
      <c r="A50" s="4" t="s">
        <v>157</v>
      </c>
      <c r="B50" s="3" t="s">
        <v>158</v>
      </c>
    </row>
    <row r="51" spans="1:2" x14ac:dyDescent="0.2">
      <c r="A51" s="4" t="s">
        <v>159</v>
      </c>
      <c r="B51" s="3" t="s">
        <v>160</v>
      </c>
    </row>
    <row r="52" spans="1:2" x14ac:dyDescent="0.2">
      <c r="A52" s="4" t="s">
        <v>161</v>
      </c>
      <c r="B52" s="3" t="s">
        <v>162</v>
      </c>
    </row>
    <row r="53" spans="1:2" x14ac:dyDescent="0.2">
      <c r="A53" s="2"/>
      <c r="B53" s="3"/>
    </row>
    <row r="54" spans="1:2" x14ac:dyDescent="0.2">
      <c r="A54" s="5" t="s">
        <v>163</v>
      </c>
      <c r="B54" s="3"/>
    </row>
    <row r="55" spans="1:2" x14ac:dyDescent="0.2">
      <c r="A55" s="4" t="s">
        <v>164</v>
      </c>
      <c r="B55" s="3" t="s">
        <v>165</v>
      </c>
    </row>
    <row r="56" spans="1:2" x14ac:dyDescent="0.2">
      <c r="A56" s="4" t="s">
        <v>166</v>
      </c>
      <c r="B56" s="3" t="s">
        <v>167</v>
      </c>
    </row>
    <row r="57" spans="1:2" x14ac:dyDescent="0.2">
      <c r="A57" s="4" t="s">
        <v>168</v>
      </c>
      <c r="B57" s="3" t="s">
        <v>169</v>
      </c>
    </row>
    <row r="58" spans="1:2" x14ac:dyDescent="0.2">
      <c r="A58" s="4" t="s">
        <v>170</v>
      </c>
      <c r="B58" s="3" t="s">
        <v>171</v>
      </c>
    </row>
    <row r="59" spans="1:2" x14ac:dyDescent="0.2">
      <c r="A59" s="2"/>
      <c r="B59" s="3"/>
    </row>
    <row r="60" spans="1:2" x14ac:dyDescent="0.2">
      <c r="A60" s="5" t="s">
        <v>172</v>
      </c>
      <c r="B60" s="3"/>
    </row>
    <row r="61" spans="1:2" x14ac:dyDescent="0.2">
      <c r="A61" s="4" t="s">
        <v>173</v>
      </c>
      <c r="B61" s="3" t="s">
        <v>174</v>
      </c>
    </row>
    <row r="62" spans="1:2" x14ac:dyDescent="0.2">
      <c r="A62" s="4" t="s">
        <v>175</v>
      </c>
      <c r="B62" s="3" t="s">
        <v>176</v>
      </c>
    </row>
    <row r="63" spans="1:2" x14ac:dyDescent="0.2">
      <c r="A63" s="4" t="s">
        <v>177</v>
      </c>
      <c r="B63" s="3" t="s">
        <v>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3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5" sqref="C5"/>
    </sheetView>
  </sheetViews>
  <sheetFormatPr baseColWidth="10" defaultColWidth="8.83203125" defaultRowHeight="15" x14ac:dyDescent="0.2"/>
  <cols>
    <col min="1" max="1" width="10" customWidth="1"/>
    <col min="2" max="2" width="36" customWidth="1"/>
    <col min="3" max="3" width="60" customWidth="1"/>
    <col min="4" max="4" width="12" customWidth="1"/>
    <col min="5" max="6" width="14" customWidth="1"/>
    <col min="7" max="7" width="18" customWidth="1"/>
  </cols>
  <sheetData>
    <row r="1" spans="1:7" ht="28" customHeight="1" x14ac:dyDescent="0.2">
      <c r="A1" s="1" t="s">
        <v>179</v>
      </c>
    </row>
    <row r="2" spans="1:7" x14ac:dyDescent="0.2">
      <c r="A2" s="6" t="s">
        <v>180</v>
      </c>
    </row>
    <row r="3" spans="1:7" ht="32" customHeight="1" x14ac:dyDescent="0.2">
      <c r="A3" s="7" t="s">
        <v>2</v>
      </c>
      <c r="B3" s="7" t="s">
        <v>3</v>
      </c>
      <c r="C3" s="7" t="s">
        <v>181</v>
      </c>
      <c r="D3" s="7" t="s">
        <v>182</v>
      </c>
      <c r="E3" s="7" t="s">
        <v>183</v>
      </c>
      <c r="F3" s="7" t="s">
        <v>184</v>
      </c>
      <c r="G3" s="7" t="s">
        <v>185</v>
      </c>
    </row>
    <row r="4" spans="1:7" ht="28" hidden="1" customHeight="1" x14ac:dyDescent="0.2">
      <c r="A4" s="8" t="s">
        <v>10</v>
      </c>
      <c r="B4" s="9" t="s">
        <v>186</v>
      </c>
      <c r="C4" s="9" t="s">
        <v>187</v>
      </c>
      <c r="D4" s="9" t="s">
        <v>188</v>
      </c>
      <c r="E4" s="9" t="s">
        <v>189</v>
      </c>
      <c r="F4" s="9" t="s">
        <v>190</v>
      </c>
      <c r="G4" s="10" t="s">
        <v>191</v>
      </c>
    </row>
    <row r="5" spans="1:7" ht="56" hidden="1" customHeight="1" x14ac:dyDescent="0.2">
      <c r="A5" s="11" t="s">
        <v>14</v>
      </c>
      <c r="B5" s="12" t="s">
        <v>15</v>
      </c>
      <c r="C5" s="12" t="s">
        <v>192</v>
      </c>
      <c r="D5" s="12" t="s">
        <v>188</v>
      </c>
      <c r="E5" s="12" t="s">
        <v>189</v>
      </c>
      <c r="F5" s="12" t="s">
        <v>190</v>
      </c>
      <c r="G5" s="10" t="s">
        <v>191</v>
      </c>
    </row>
    <row r="6" spans="1:7" ht="42" hidden="1" customHeight="1" x14ac:dyDescent="0.2">
      <c r="A6" s="8" t="s">
        <v>16</v>
      </c>
      <c r="B6" s="9" t="s">
        <v>193</v>
      </c>
      <c r="C6" s="9" t="s">
        <v>194</v>
      </c>
      <c r="D6" s="9" t="s">
        <v>188</v>
      </c>
      <c r="E6" s="9" t="s">
        <v>189</v>
      </c>
      <c r="F6" s="9" t="s">
        <v>190</v>
      </c>
      <c r="G6" s="10" t="s">
        <v>191</v>
      </c>
    </row>
    <row r="7" spans="1:7" ht="56" hidden="1" customHeight="1" x14ac:dyDescent="0.2">
      <c r="A7" s="11" t="s">
        <v>18</v>
      </c>
      <c r="B7" s="12" t="s">
        <v>195</v>
      </c>
      <c r="C7" s="12" t="s">
        <v>196</v>
      </c>
      <c r="D7" s="12" t="s">
        <v>188</v>
      </c>
      <c r="E7" s="12" t="s">
        <v>189</v>
      </c>
      <c r="F7" s="12" t="s">
        <v>190</v>
      </c>
      <c r="G7" s="10" t="s">
        <v>191</v>
      </c>
    </row>
    <row r="8" spans="1:7" ht="28" hidden="1" customHeight="1" x14ac:dyDescent="0.2">
      <c r="A8" s="8" t="s">
        <v>20</v>
      </c>
      <c r="B8" s="9" t="s">
        <v>21</v>
      </c>
      <c r="C8" s="9" t="s">
        <v>197</v>
      </c>
      <c r="D8" s="9" t="s">
        <v>188</v>
      </c>
      <c r="E8" s="9" t="s">
        <v>189</v>
      </c>
      <c r="F8" s="9" t="s">
        <v>190</v>
      </c>
      <c r="G8" s="10" t="s">
        <v>191</v>
      </c>
    </row>
    <row r="9" spans="1:7" ht="28" hidden="1" customHeight="1" x14ac:dyDescent="0.2">
      <c r="A9" s="11" t="s">
        <v>22</v>
      </c>
      <c r="B9" s="12" t="s">
        <v>198</v>
      </c>
      <c r="C9" s="12" t="s">
        <v>199</v>
      </c>
      <c r="D9" s="12" t="s">
        <v>188</v>
      </c>
      <c r="E9" s="12" t="s">
        <v>189</v>
      </c>
      <c r="F9" s="12" t="s">
        <v>190</v>
      </c>
      <c r="G9" s="10" t="s">
        <v>191</v>
      </c>
    </row>
    <row r="10" spans="1:7" ht="42" hidden="1" customHeight="1" x14ac:dyDescent="0.2">
      <c r="A10" s="8" t="s">
        <v>25</v>
      </c>
      <c r="B10" s="9" t="s">
        <v>200</v>
      </c>
      <c r="C10" s="9" t="s">
        <v>201</v>
      </c>
      <c r="D10" s="9" t="s">
        <v>188</v>
      </c>
      <c r="E10" s="9" t="s">
        <v>189</v>
      </c>
      <c r="F10" s="9" t="s">
        <v>190</v>
      </c>
      <c r="G10" s="10" t="s">
        <v>191</v>
      </c>
    </row>
    <row r="11" spans="1:7" ht="28" hidden="1" customHeight="1" x14ac:dyDescent="0.2">
      <c r="A11" s="11" t="s">
        <v>27</v>
      </c>
      <c r="B11" s="12" t="s">
        <v>202</v>
      </c>
      <c r="C11" s="12" t="s">
        <v>203</v>
      </c>
      <c r="D11" s="12" t="s">
        <v>188</v>
      </c>
      <c r="E11" s="12" t="s">
        <v>189</v>
      </c>
      <c r="F11" s="12" t="s">
        <v>190</v>
      </c>
      <c r="G11" s="10" t="s">
        <v>191</v>
      </c>
    </row>
    <row r="12" spans="1:7" ht="28" hidden="1" customHeight="1" x14ac:dyDescent="0.2">
      <c r="A12" s="8" t="s">
        <v>30</v>
      </c>
      <c r="B12" s="9" t="s">
        <v>204</v>
      </c>
      <c r="C12" s="9" t="s">
        <v>205</v>
      </c>
      <c r="D12" s="9" t="s">
        <v>188</v>
      </c>
      <c r="E12" s="9" t="s">
        <v>189</v>
      </c>
      <c r="F12" s="9" t="s">
        <v>206</v>
      </c>
      <c r="G12" s="10" t="s">
        <v>191</v>
      </c>
    </row>
    <row r="13" spans="1:7" ht="28" hidden="1" customHeight="1" x14ac:dyDescent="0.2">
      <c r="A13" s="11" t="s">
        <v>33</v>
      </c>
      <c r="B13" s="12" t="s">
        <v>207</v>
      </c>
      <c r="C13" s="12" t="s">
        <v>208</v>
      </c>
      <c r="D13" s="12" t="s">
        <v>188</v>
      </c>
      <c r="E13" s="12" t="s">
        <v>189</v>
      </c>
      <c r="F13" s="12" t="s">
        <v>206</v>
      </c>
      <c r="G13" s="10" t="s">
        <v>191</v>
      </c>
    </row>
    <row r="14" spans="1:7" ht="42" hidden="1" customHeight="1" x14ac:dyDescent="0.2">
      <c r="A14" s="8" t="s">
        <v>36</v>
      </c>
      <c r="B14" s="9" t="s">
        <v>209</v>
      </c>
      <c r="C14" s="9" t="s">
        <v>210</v>
      </c>
      <c r="D14" s="9" t="s">
        <v>188</v>
      </c>
      <c r="E14" s="9" t="s">
        <v>211</v>
      </c>
      <c r="F14" s="9" t="s">
        <v>190</v>
      </c>
      <c r="G14" s="10" t="s">
        <v>191</v>
      </c>
    </row>
    <row r="15" spans="1:7" ht="28" hidden="1" customHeight="1" x14ac:dyDescent="0.2">
      <c r="A15" s="11" t="s">
        <v>39</v>
      </c>
      <c r="B15" s="12" t="s">
        <v>212</v>
      </c>
      <c r="C15" s="12" t="s">
        <v>213</v>
      </c>
      <c r="D15" s="12" t="s">
        <v>188</v>
      </c>
      <c r="E15" s="12" t="s">
        <v>211</v>
      </c>
      <c r="F15" s="12" t="s">
        <v>190</v>
      </c>
      <c r="G15" s="10" t="s">
        <v>191</v>
      </c>
    </row>
    <row r="16" spans="1:7" ht="28" hidden="1" customHeight="1" x14ac:dyDescent="0.2">
      <c r="A16" s="8" t="s">
        <v>42</v>
      </c>
      <c r="B16" s="9" t="s">
        <v>43</v>
      </c>
      <c r="C16" s="9" t="s">
        <v>214</v>
      </c>
      <c r="D16" s="9" t="s">
        <v>188</v>
      </c>
      <c r="E16" s="9" t="s">
        <v>211</v>
      </c>
      <c r="F16" s="9" t="s">
        <v>190</v>
      </c>
      <c r="G16" s="10" t="s">
        <v>191</v>
      </c>
    </row>
    <row r="17" spans="1:7" ht="56" customHeight="1" x14ac:dyDescent="0.2">
      <c r="A17" s="11" t="s">
        <v>45</v>
      </c>
      <c r="B17" s="12" t="s">
        <v>46</v>
      </c>
      <c r="C17" s="12" t="s">
        <v>215</v>
      </c>
      <c r="D17" s="12" t="s">
        <v>188</v>
      </c>
      <c r="E17" s="12" t="s">
        <v>189</v>
      </c>
      <c r="F17" s="12" t="s">
        <v>190</v>
      </c>
      <c r="G17" s="13" t="s">
        <v>216</v>
      </c>
    </row>
    <row r="18" spans="1:7" ht="56" customHeight="1" x14ac:dyDescent="0.2">
      <c r="A18" s="8" t="s">
        <v>48</v>
      </c>
      <c r="B18" s="9" t="s">
        <v>217</v>
      </c>
      <c r="C18" s="9" t="s">
        <v>218</v>
      </c>
      <c r="D18" s="9" t="s">
        <v>188</v>
      </c>
      <c r="E18" s="9" t="s">
        <v>211</v>
      </c>
      <c r="F18" s="9" t="s">
        <v>219</v>
      </c>
      <c r="G18" s="13" t="s">
        <v>216</v>
      </c>
    </row>
    <row r="19" spans="1:7" ht="28" customHeight="1" x14ac:dyDescent="0.2">
      <c r="A19" s="11" t="s">
        <v>51</v>
      </c>
      <c r="B19" s="12" t="s">
        <v>52</v>
      </c>
      <c r="C19" s="12" t="s">
        <v>220</v>
      </c>
      <c r="D19" s="12" t="s">
        <v>188</v>
      </c>
      <c r="E19" s="12" t="s">
        <v>211</v>
      </c>
      <c r="F19" s="12" t="s">
        <v>219</v>
      </c>
      <c r="G19" s="13" t="s">
        <v>216</v>
      </c>
    </row>
    <row r="20" spans="1:7" ht="42" customHeight="1" x14ac:dyDescent="0.2">
      <c r="A20" s="8" t="s">
        <v>54</v>
      </c>
      <c r="B20" s="9" t="s">
        <v>221</v>
      </c>
      <c r="C20" s="9" t="s">
        <v>222</v>
      </c>
      <c r="D20" s="9" t="s">
        <v>188</v>
      </c>
      <c r="E20" s="9" t="s">
        <v>223</v>
      </c>
      <c r="F20" s="9" t="s">
        <v>219</v>
      </c>
      <c r="G20" s="13" t="s">
        <v>216</v>
      </c>
    </row>
    <row r="21" spans="1:7" ht="42" customHeight="1" x14ac:dyDescent="0.2">
      <c r="A21" s="11" t="s">
        <v>57</v>
      </c>
      <c r="B21" s="12" t="s">
        <v>224</v>
      </c>
      <c r="C21" s="12" t="s">
        <v>225</v>
      </c>
      <c r="D21" s="12" t="s">
        <v>188</v>
      </c>
      <c r="E21" s="12" t="s">
        <v>223</v>
      </c>
      <c r="F21" s="12" t="s">
        <v>190</v>
      </c>
      <c r="G21" s="13" t="s">
        <v>216</v>
      </c>
    </row>
    <row r="22" spans="1:7" ht="28" customHeight="1" x14ac:dyDescent="0.2">
      <c r="A22" s="8" t="s">
        <v>60</v>
      </c>
      <c r="B22" s="9" t="s">
        <v>226</v>
      </c>
      <c r="C22" s="9" t="s">
        <v>227</v>
      </c>
      <c r="D22" s="9" t="s">
        <v>188</v>
      </c>
      <c r="E22" s="9" t="s">
        <v>223</v>
      </c>
      <c r="F22" s="9" t="s">
        <v>219</v>
      </c>
      <c r="G22" s="13" t="s">
        <v>216</v>
      </c>
    </row>
    <row r="23" spans="1:7" ht="28" customHeight="1" x14ac:dyDescent="0.2">
      <c r="A23" s="11" t="s">
        <v>63</v>
      </c>
      <c r="B23" s="12" t="s">
        <v>64</v>
      </c>
      <c r="C23" s="12" t="s">
        <v>228</v>
      </c>
      <c r="D23" s="12" t="s">
        <v>188</v>
      </c>
      <c r="E23" s="12" t="s">
        <v>223</v>
      </c>
      <c r="F23" s="12" t="s">
        <v>206</v>
      </c>
      <c r="G23" s="13" t="s">
        <v>216</v>
      </c>
    </row>
    <row r="24" spans="1:7" ht="28" customHeight="1" x14ac:dyDescent="0.2">
      <c r="A24" s="8" t="s">
        <v>67</v>
      </c>
      <c r="B24" s="9" t="s">
        <v>229</v>
      </c>
      <c r="C24" s="9" t="s">
        <v>230</v>
      </c>
      <c r="D24" s="9" t="s">
        <v>188</v>
      </c>
      <c r="E24" s="9" t="s">
        <v>223</v>
      </c>
      <c r="F24" s="9" t="s">
        <v>206</v>
      </c>
      <c r="G24" s="13" t="s">
        <v>216</v>
      </c>
    </row>
    <row r="25" spans="1:7" ht="42" hidden="1" customHeight="1" x14ac:dyDescent="0.2">
      <c r="A25" s="11" t="s">
        <v>69</v>
      </c>
      <c r="B25" s="12" t="s">
        <v>231</v>
      </c>
      <c r="C25" s="12" t="s">
        <v>232</v>
      </c>
      <c r="D25" s="12" t="s">
        <v>233</v>
      </c>
      <c r="E25" s="12" t="s">
        <v>223</v>
      </c>
      <c r="F25" s="12" t="s">
        <v>206</v>
      </c>
      <c r="G25" s="14" t="s">
        <v>234</v>
      </c>
    </row>
    <row r="26" spans="1:7" ht="28" hidden="1" customHeight="1" x14ac:dyDescent="0.2">
      <c r="A26" s="8" t="s">
        <v>70</v>
      </c>
      <c r="B26" s="9" t="s">
        <v>235</v>
      </c>
      <c r="C26" s="9" t="s">
        <v>236</v>
      </c>
      <c r="D26" s="9" t="s">
        <v>233</v>
      </c>
      <c r="E26" s="9" t="s">
        <v>223</v>
      </c>
      <c r="F26" s="9" t="s">
        <v>206</v>
      </c>
      <c r="G26" s="14" t="s">
        <v>234</v>
      </c>
    </row>
    <row r="27" spans="1:7" ht="42" hidden="1" customHeight="1" x14ac:dyDescent="0.2">
      <c r="A27" s="11" t="s">
        <v>71</v>
      </c>
      <c r="B27" s="12" t="s">
        <v>237</v>
      </c>
      <c r="C27" s="12" t="s">
        <v>238</v>
      </c>
      <c r="D27" s="12" t="s">
        <v>233</v>
      </c>
      <c r="E27" s="12" t="s">
        <v>223</v>
      </c>
      <c r="F27" s="12" t="s">
        <v>206</v>
      </c>
      <c r="G27" s="14" t="s">
        <v>234</v>
      </c>
    </row>
    <row r="28" spans="1:7" ht="28" hidden="1" customHeight="1" x14ac:dyDescent="0.2">
      <c r="A28" s="8" t="s">
        <v>72</v>
      </c>
      <c r="B28" s="9" t="s">
        <v>239</v>
      </c>
      <c r="C28" s="9" t="s">
        <v>240</v>
      </c>
      <c r="D28" s="9" t="s">
        <v>188</v>
      </c>
      <c r="E28" s="9" t="s">
        <v>223</v>
      </c>
      <c r="F28" s="9" t="s">
        <v>206</v>
      </c>
      <c r="G28" s="15" t="s">
        <v>241</v>
      </c>
    </row>
    <row r="29" spans="1:7" hidden="1" x14ac:dyDescent="0.2">
      <c r="A29" s="11" t="s">
        <v>75</v>
      </c>
      <c r="B29" s="12" t="s">
        <v>242</v>
      </c>
      <c r="C29" s="12" t="s">
        <v>243</v>
      </c>
      <c r="D29" s="12" t="s">
        <v>188</v>
      </c>
      <c r="E29" s="12" t="s">
        <v>223</v>
      </c>
      <c r="F29" s="12" t="s">
        <v>206</v>
      </c>
      <c r="G29" s="15" t="s">
        <v>241</v>
      </c>
    </row>
    <row r="30" spans="1:7" hidden="1" x14ac:dyDescent="0.2">
      <c r="A30" s="8" t="s">
        <v>77</v>
      </c>
      <c r="B30" s="9" t="s">
        <v>244</v>
      </c>
      <c r="C30" s="9" t="s">
        <v>245</v>
      </c>
      <c r="D30" s="9" t="s">
        <v>188</v>
      </c>
      <c r="E30" s="9" t="s">
        <v>223</v>
      </c>
      <c r="F30" s="9" t="s">
        <v>206</v>
      </c>
      <c r="G30" s="15" t="s">
        <v>241</v>
      </c>
    </row>
  </sheetData>
  <autoFilter ref="A3:G30" xr:uid="{00000000-0009-0000-0000-000001000000}">
    <filterColumn colId="6">
      <filters>
        <filter val="P2 EDIT&amp;SOCIAL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showGridLines="0" tabSelected="1" zoomScale="150" workbookViewId="0">
      <pane xSplit="2" ySplit="4" topLeftCell="D18" activePane="bottomRight" state="frozen"/>
      <selection pane="topRight"/>
      <selection pane="bottomLeft"/>
      <selection pane="bottomRight" activeCell="G24" sqref="G24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4" width="14" customWidth="1"/>
    <col min="5" max="5" width="16" customWidth="1"/>
    <col min="6" max="7" width="18" customWidth="1"/>
    <col min="8" max="8" width="50" customWidth="1"/>
  </cols>
  <sheetData>
    <row r="1" spans="1:8" ht="28" customHeight="1" x14ac:dyDescent="0.2">
      <c r="A1" s="1" t="s">
        <v>0</v>
      </c>
    </row>
    <row r="2" spans="1:8" x14ac:dyDescent="0.2">
      <c r="A2" s="6" t="s">
        <v>1</v>
      </c>
    </row>
    <row r="4" spans="1:8" ht="32" customHeight="1" x14ac:dyDescent="0.2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</row>
    <row r="5" spans="1:8" x14ac:dyDescent="0.2">
      <c r="A5" s="16" t="s">
        <v>10</v>
      </c>
      <c r="B5" s="17" t="s">
        <v>11</v>
      </c>
      <c r="C5" s="18">
        <v>9</v>
      </c>
      <c r="D5" s="18">
        <v>0</v>
      </c>
      <c r="E5" s="19">
        <f>C5*'06_Variables'!$B$6</f>
        <v>5850</v>
      </c>
      <c r="F5" s="20" t="s">
        <v>12</v>
      </c>
      <c r="G5" s="21">
        <v>6000</v>
      </c>
      <c r="H5" s="22" t="s">
        <v>13</v>
      </c>
    </row>
    <row r="6" spans="1:8" x14ac:dyDescent="0.2">
      <c r="A6" s="23" t="s">
        <v>14</v>
      </c>
      <c r="B6" s="24" t="s">
        <v>15</v>
      </c>
      <c r="C6" s="65">
        <v>27</v>
      </c>
      <c r="D6" s="18">
        <v>0</v>
      </c>
      <c r="E6" s="25">
        <f>C6*'06_Variables'!$B$6</f>
        <v>17550</v>
      </c>
      <c r="F6" s="26" t="s">
        <v>12</v>
      </c>
      <c r="G6" s="66">
        <v>22000</v>
      </c>
      <c r="H6" s="27" t="s">
        <v>423</v>
      </c>
    </row>
    <row r="7" spans="1:8" x14ac:dyDescent="0.2">
      <c r="A7" s="16" t="s">
        <v>16</v>
      </c>
      <c r="B7" s="17" t="s">
        <v>17</v>
      </c>
      <c r="C7" s="18">
        <v>6</v>
      </c>
      <c r="D7" s="18">
        <v>0</v>
      </c>
      <c r="E7" s="19">
        <f>C7*'06_Variables'!$B$6</f>
        <v>3900</v>
      </c>
      <c r="F7" s="20" t="s">
        <v>12</v>
      </c>
      <c r="G7" s="21">
        <v>4000</v>
      </c>
      <c r="H7" s="22"/>
    </row>
    <row r="8" spans="1:8" ht="26" x14ac:dyDescent="0.2">
      <c r="A8" s="23" t="s">
        <v>18</v>
      </c>
      <c r="B8" s="24" t="s">
        <v>19</v>
      </c>
      <c r="C8" s="65">
        <v>14</v>
      </c>
      <c r="D8" s="18">
        <v>0</v>
      </c>
      <c r="E8" s="25">
        <f>C8*'06_Variables'!$B$6</f>
        <v>9100</v>
      </c>
      <c r="F8" s="26" t="s">
        <v>12</v>
      </c>
      <c r="G8" s="66">
        <v>12000</v>
      </c>
      <c r="H8" s="27" t="s">
        <v>424</v>
      </c>
    </row>
    <row r="9" spans="1:8" x14ac:dyDescent="0.2">
      <c r="A9" s="16" t="s">
        <v>20</v>
      </c>
      <c r="B9" s="17" t="s">
        <v>21</v>
      </c>
      <c r="C9" s="65">
        <v>6</v>
      </c>
      <c r="D9" s="18">
        <v>0</v>
      </c>
      <c r="E9" s="19">
        <f>C9*'06_Variables'!$B$6</f>
        <v>3900</v>
      </c>
      <c r="F9" s="20" t="s">
        <v>12</v>
      </c>
      <c r="G9" s="66">
        <v>4500</v>
      </c>
      <c r="H9" s="22" t="s">
        <v>425</v>
      </c>
    </row>
    <row r="10" spans="1:8" x14ac:dyDescent="0.2">
      <c r="A10" s="23" t="s">
        <v>22</v>
      </c>
      <c r="B10" s="24" t="s">
        <v>23</v>
      </c>
      <c r="C10" s="18">
        <v>17</v>
      </c>
      <c r="D10" s="18">
        <v>0</v>
      </c>
      <c r="E10" s="25">
        <f>C10*'06_Variables'!$B$6</f>
        <v>11050</v>
      </c>
      <c r="F10" s="26" t="s">
        <v>12</v>
      </c>
      <c r="G10" s="21">
        <v>11000</v>
      </c>
      <c r="H10" s="27" t="s">
        <v>24</v>
      </c>
    </row>
    <row r="11" spans="1:8" ht="26" customHeight="1" x14ac:dyDescent="0.2">
      <c r="A11" s="16" t="s">
        <v>25</v>
      </c>
      <c r="B11" s="17" t="s">
        <v>26</v>
      </c>
      <c r="C11" s="18">
        <v>23</v>
      </c>
      <c r="D11" s="18">
        <v>0</v>
      </c>
      <c r="E11" s="19">
        <f>C11*'06_Variables'!$B$6</f>
        <v>14950</v>
      </c>
      <c r="F11" s="20" t="s">
        <v>12</v>
      </c>
      <c r="G11" s="21">
        <v>15000</v>
      </c>
      <c r="H11" s="22"/>
    </row>
    <row r="12" spans="1:8" x14ac:dyDescent="0.2">
      <c r="A12" s="23" t="s">
        <v>27</v>
      </c>
      <c r="B12" s="81" t="s">
        <v>28</v>
      </c>
      <c r="C12" s="18">
        <v>7</v>
      </c>
      <c r="D12" s="18">
        <v>0</v>
      </c>
      <c r="E12" s="25">
        <f>C12*'06_Variables'!$B$6</f>
        <v>4550</v>
      </c>
      <c r="F12" s="26" t="s">
        <v>12</v>
      </c>
      <c r="G12" s="21">
        <v>4500</v>
      </c>
      <c r="H12" s="27" t="s">
        <v>29</v>
      </c>
    </row>
    <row r="13" spans="1:8" x14ac:dyDescent="0.2">
      <c r="A13" s="16" t="s">
        <v>30</v>
      </c>
      <c r="B13" s="80" t="s">
        <v>31</v>
      </c>
      <c r="C13" s="18">
        <v>11</v>
      </c>
      <c r="D13" s="18">
        <v>0</v>
      </c>
      <c r="E13" s="19">
        <f>C13*'06_Variables'!$B$6</f>
        <v>7150</v>
      </c>
      <c r="F13" s="20" t="s">
        <v>12</v>
      </c>
      <c r="G13" s="21">
        <v>7500</v>
      </c>
      <c r="H13" s="22" t="s">
        <v>32</v>
      </c>
    </row>
    <row r="14" spans="1:8" x14ac:dyDescent="0.2">
      <c r="A14" s="23" t="s">
        <v>33</v>
      </c>
      <c r="B14" s="80" t="s">
        <v>34</v>
      </c>
      <c r="C14" s="18">
        <v>11</v>
      </c>
      <c r="D14" s="18">
        <v>0</v>
      </c>
      <c r="E14" s="25">
        <f>C14*'06_Variables'!$B$6</f>
        <v>7150</v>
      </c>
      <c r="F14" s="26" t="s">
        <v>12</v>
      </c>
      <c r="G14" s="21">
        <v>7500</v>
      </c>
      <c r="H14" s="27" t="s">
        <v>35</v>
      </c>
    </row>
    <row r="15" spans="1:8" x14ac:dyDescent="0.2">
      <c r="A15" s="16" t="s">
        <v>36</v>
      </c>
      <c r="B15" s="17" t="s">
        <v>37</v>
      </c>
      <c r="C15" s="18">
        <v>8</v>
      </c>
      <c r="D15" s="18">
        <v>0</v>
      </c>
      <c r="E15" s="19">
        <f>C15*'06_Variables'!$B$6</f>
        <v>5200</v>
      </c>
      <c r="F15" s="20" t="s">
        <v>12</v>
      </c>
      <c r="G15" s="21">
        <v>5000</v>
      </c>
      <c r="H15" s="22" t="s">
        <v>38</v>
      </c>
    </row>
    <row r="16" spans="1:8" x14ac:dyDescent="0.2">
      <c r="A16" s="23" t="s">
        <v>39</v>
      </c>
      <c r="B16" s="81" t="s">
        <v>40</v>
      </c>
      <c r="C16" s="18">
        <v>5</v>
      </c>
      <c r="D16" s="18">
        <v>0</v>
      </c>
      <c r="E16" s="25">
        <f>C16*'06_Variables'!$B$6</f>
        <v>3250</v>
      </c>
      <c r="F16" s="26" t="s">
        <v>12</v>
      </c>
      <c r="G16" s="21">
        <v>3000</v>
      </c>
      <c r="H16" s="27" t="s">
        <v>41</v>
      </c>
    </row>
    <row r="17" spans="1:8" x14ac:dyDescent="0.2">
      <c r="A17" s="16" t="s">
        <v>42</v>
      </c>
      <c r="B17" s="17" t="s">
        <v>43</v>
      </c>
      <c r="C17" s="18">
        <v>4</v>
      </c>
      <c r="D17" s="18">
        <v>0</v>
      </c>
      <c r="E17" s="19">
        <f>C17*'06_Variables'!$B$6</f>
        <v>2600</v>
      </c>
      <c r="F17" s="20" t="s">
        <v>12</v>
      </c>
      <c r="G17" s="21">
        <v>2500</v>
      </c>
      <c r="H17" s="22" t="s">
        <v>44</v>
      </c>
    </row>
    <row r="18" spans="1:8" ht="26" customHeight="1" x14ac:dyDescent="0.2">
      <c r="A18" s="23" t="s">
        <v>45</v>
      </c>
      <c r="B18" s="24" t="s">
        <v>46</v>
      </c>
      <c r="C18" s="18">
        <v>11</v>
      </c>
      <c r="D18" s="18">
        <v>0</v>
      </c>
      <c r="E18" s="25"/>
      <c r="F18" s="26"/>
      <c r="G18" s="21"/>
      <c r="H18" s="27" t="s">
        <v>47</v>
      </c>
    </row>
    <row r="19" spans="1:8" ht="28" customHeight="1" x14ac:dyDescent="0.2">
      <c r="A19" s="16" t="s">
        <v>48</v>
      </c>
      <c r="B19" s="17" t="s">
        <v>49</v>
      </c>
      <c r="C19" s="18">
        <v>3.5</v>
      </c>
      <c r="D19" s="18">
        <v>0</v>
      </c>
      <c r="E19" s="19"/>
      <c r="F19" s="20"/>
      <c r="G19" s="21"/>
      <c r="H19" s="22" t="s">
        <v>50</v>
      </c>
    </row>
    <row r="20" spans="1:8" x14ac:dyDescent="0.2">
      <c r="A20" s="23" t="s">
        <v>51</v>
      </c>
      <c r="B20" s="24" t="s">
        <v>52</v>
      </c>
      <c r="C20" s="18">
        <v>0</v>
      </c>
      <c r="D20" s="18">
        <v>0</v>
      </c>
      <c r="E20" s="28" t="s">
        <v>12</v>
      </c>
      <c r="F20" s="26" t="s">
        <v>12</v>
      </c>
      <c r="G20" s="21">
        <v>0</v>
      </c>
      <c r="H20" s="27" t="s">
        <v>53</v>
      </c>
    </row>
    <row r="21" spans="1:8" ht="26" customHeight="1" x14ac:dyDescent="0.2">
      <c r="A21" s="16" t="s">
        <v>54</v>
      </c>
      <c r="B21" s="17" t="s">
        <v>55</v>
      </c>
      <c r="C21" s="18">
        <v>7</v>
      </c>
      <c r="D21" s="18">
        <v>0</v>
      </c>
      <c r="E21" s="19">
        <f>C21*'06_Variables'!$B$6</f>
        <v>4550</v>
      </c>
      <c r="F21" s="20" t="s">
        <v>12</v>
      </c>
      <c r="G21" s="21">
        <v>4500</v>
      </c>
      <c r="H21" s="22" t="s">
        <v>56</v>
      </c>
    </row>
    <row r="22" spans="1:8" x14ac:dyDescent="0.2">
      <c r="A22" s="23" t="s">
        <v>57</v>
      </c>
      <c r="B22" s="24" t="s">
        <v>58</v>
      </c>
      <c r="C22" s="65">
        <v>2.5</v>
      </c>
      <c r="D22" s="18">
        <v>0</v>
      </c>
      <c r="E22" s="25">
        <f>C22*'06_Variables'!$B$6</f>
        <v>1625</v>
      </c>
      <c r="F22" s="26" t="s">
        <v>12</v>
      </c>
      <c r="G22" s="66">
        <v>1800</v>
      </c>
      <c r="H22" s="67" t="s">
        <v>59</v>
      </c>
    </row>
    <row r="23" spans="1:8" x14ac:dyDescent="0.2">
      <c r="A23" s="16" t="s">
        <v>60</v>
      </c>
      <c r="B23" s="17" t="s">
        <v>61</v>
      </c>
      <c r="C23" s="65">
        <v>2</v>
      </c>
      <c r="D23" s="18">
        <v>0</v>
      </c>
      <c r="E23" s="19">
        <f>C23*'06_Variables'!$B$6</f>
        <v>1300</v>
      </c>
      <c r="F23" s="20" t="s">
        <v>12</v>
      </c>
      <c r="G23" s="66">
        <v>1500</v>
      </c>
      <c r="H23" s="68" t="s">
        <v>62</v>
      </c>
    </row>
    <row r="24" spans="1:8" x14ac:dyDescent="0.2">
      <c r="A24" s="23" t="s">
        <v>63</v>
      </c>
      <c r="B24" s="24" t="s">
        <v>64</v>
      </c>
      <c r="C24" s="29" t="s">
        <v>65</v>
      </c>
      <c r="D24" s="18">
        <v>0</v>
      </c>
      <c r="E24" s="28" t="s">
        <v>65</v>
      </c>
      <c r="F24" s="26" t="s">
        <v>12</v>
      </c>
      <c r="G24" s="26" t="s">
        <v>65</v>
      </c>
      <c r="H24" s="27" t="s">
        <v>66</v>
      </c>
    </row>
    <row r="25" spans="1:8" x14ac:dyDescent="0.2">
      <c r="A25" s="16" t="s">
        <v>67</v>
      </c>
      <c r="B25" s="17" t="s">
        <v>68</v>
      </c>
      <c r="C25" s="30" t="s">
        <v>65</v>
      </c>
      <c r="D25" s="18">
        <v>0</v>
      </c>
      <c r="E25" s="31" t="s">
        <v>65</v>
      </c>
      <c r="F25" s="20" t="s">
        <v>12</v>
      </c>
      <c r="G25" s="20" t="s">
        <v>65</v>
      </c>
      <c r="H25" s="22" t="s">
        <v>66</v>
      </c>
    </row>
    <row r="26" spans="1:8" x14ac:dyDescent="0.2">
      <c r="A26" s="16" t="s">
        <v>72</v>
      </c>
      <c r="B26" s="17" t="s">
        <v>73</v>
      </c>
      <c r="C26" s="30" t="s">
        <v>65</v>
      </c>
      <c r="D26" s="18">
        <v>0</v>
      </c>
      <c r="E26" s="31" t="s">
        <v>65</v>
      </c>
      <c r="F26" s="20" t="s">
        <v>12</v>
      </c>
      <c r="G26" s="20" t="s">
        <v>65</v>
      </c>
      <c r="H26" s="22" t="s">
        <v>74</v>
      </c>
    </row>
    <row r="27" spans="1:8" x14ac:dyDescent="0.2">
      <c r="A27" s="23" t="s">
        <v>75</v>
      </c>
      <c r="B27" s="24" t="s">
        <v>76</v>
      </c>
      <c r="C27" s="29" t="s">
        <v>65</v>
      </c>
      <c r="D27" s="18">
        <v>0</v>
      </c>
      <c r="E27" s="28" t="s">
        <v>65</v>
      </c>
      <c r="F27" s="26" t="s">
        <v>12</v>
      </c>
      <c r="G27" s="26" t="s">
        <v>65</v>
      </c>
      <c r="H27" s="27" t="s">
        <v>74</v>
      </c>
    </row>
    <row r="28" spans="1:8" x14ac:dyDescent="0.2">
      <c r="A28" s="16" t="s">
        <v>77</v>
      </c>
      <c r="B28" s="17" t="s">
        <v>78</v>
      </c>
      <c r="C28" s="30" t="s">
        <v>65</v>
      </c>
      <c r="D28" s="18">
        <v>0</v>
      </c>
      <c r="E28" s="31" t="s">
        <v>65</v>
      </c>
      <c r="F28" s="20" t="s">
        <v>12</v>
      </c>
      <c r="G28" s="20" t="s">
        <v>65</v>
      </c>
      <c r="H28" s="22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showGridLines="0" workbookViewId="0">
      <pane ySplit="3" topLeftCell="A19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20" customWidth="1"/>
    <col min="4" max="4" width="24" customWidth="1"/>
    <col min="5" max="5" width="38" customWidth="1"/>
  </cols>
  <sheetData>
    <row r="1" spans="1:8" ht="28" customHeight="1" x14ac:dyDescent="0.2">
      <c r="A1" s="1" t="s">
        <v>246</v>
      </c>
    </row>
    <row r="2" spans="1:8" x14ac:dyDescent="0.2">
      <c r="A2" s="6" t="s">
        <v>247</v>
      </c>
    </row>
    <row r="4" spans="1:8" ht="16" customHeight="1" x14ac:dyDescent="0.2">
      <c r="A4" s="32" t="s">
        <v>248</v>
      </c>
    </row>
    <row r="5" spans="1:8" ht="32" customHeight="1" x14ac:dyDescent="0.2">
      <c r="A5" s="7" t="s">
        <v>2</v>
      </c>
      <c r="B5" s="7" t="s">
        <v>249</v>
      </c>
      <c r="C5" s="7" t="s">
        <v>250</v>
      </c>
      <c r="D5" s="7" t="s">
        <v>251</v>
      </c>
      <c r="E5" s="7" t="s">
        <v>252</v>
      </c>
    </row>
    <row r="6" spans="1:8" x14ac:dyDescent="0.2">
      <c r="A6" s="74" t="s">
        <v>253</v>
      </c>
      <c r="B6" s="75"/>
      <c r="C6" s="75"/>
      <c r="D6" s="75"/>
      <c r="E6" s="75"/>
    </row>
    <row r="7" spans="1:8" x14ac:dyDescent="0.2">
      <c r="A7" s="33" t="s">
        <v>10</v>
      </c>
      <c r="B7" s="17" t="s">
        <v>11</v>
      </c>
      <c r="C7" s="17" t="s">
        <v>254</v>
      </c>
      <c r="D7" s="34" t="s">
        <v>255</v>
      </c>
      <c r="E7" s="17" t="s">
        <v>256</v>
      </c>
    </row>
    <row r="8" spans="1:8" x14ac:dyDescent="0.2">
      <c r="A8" s="33" t="s">
        <v>14</v>
      </c>
      <c r="B8" s="17" t="s">
        <v>257</v>
      </c>
      <c r="C8" s="17" t="s">
        <v>258</v>
      </c>
      <c r="D8" s="69" t="s">
        <v>259</v>
      </c>
      <c r="E8" s="70" t="s">
        <v>260</v>
      </c>
      <c r="H8" s="71">
        <v>22000</v>
      </c>
    </row>
    <row r="9" spans="1:8" x14ac:dyDescent="0.2">
      <c r="A9" s="74" t="s">
        <v>261</v>
      </c>
      <c r="B9" s="75"/>
      <c r="C9" s="75"/>
      <c r="D9" s="75"/>
      <c r="E9" s="75"/>
      <c r="H9" s="71"/>
    </row>
    <row r="10" spans="1:8" x14ac:dyDescent="0.2">
      <c r="A10" s="33" t="s">
        <v>16</v>
      </c>
      <c r="B10" s="17" t="s">
        <v>17</v>
      </c>
      <c r="C10" s="17" t="s">
        <v>262</v>
      </c>
      <c r="D10" s="34" t="s">
        <v>263</v>
      </c>
      <c r="E10" s="17" t="s">
        <v>264</v>
      </c>
      <c r="H10" s="71">
        <v>4500</v>
      </c>
    </row>
    <row r="11" spans="1:8" ht="28" x14ac:dyDescent="0.2">
      <c r="A11" s="33" t="s">
        <v>18</v>
      </c>
      <c r="B11" s="17" t="s">
        <v>265</v>
      </c>
      <c r="C11" s="17" t="s">
        <v>266</v>
      </c>
      <c r="D11" s="69" t="s">
        <v>267</v>
      </c>
      <c r="E11" s="70" t="s">
        <v>268</v>
      </c>
      <c r="H11" s="61">
        <v>15000</v>
      </c>
    </row>
    <row r="12" spans="1:8" x14ac:dyDescent="0.2">
      <c r="A12" s="33" t="s">
        <v>20</v>
      </c>
      <c r="B12" s="17" t="s">
        <v>21</v>
      </c>
      <c r="C12" s="17" t="s">
        <v>266</v>
      </c>
      <c r="D12" s="69" t="s">
        <v>269</v>
      </c>
      <c r="E12" s="70" t="s">
        <v>270</v>
      </c>
      <c r="H12" s="61">
        <v>4500</v>
      </c>
    </row>
    <row r="13" spans="1:8" x14ac:dyDescent="0.2">
      <c r="A13" s="33" t="s">
        <v>22</v>
      </c>
      <c r="B13" s="17" t="s">
        <v>23</v>
      </c>
      <c r="C13" s="17" t="s">
        <v>266</v>
      </c>
      <c r="D13" s="34" t="s">
        <v>271</v>
      </c>
      <c r="E13" s="17" t="s">
        <v>272</v>
      </c>
      <c r="H13" s="61">
        <v>5000</v>
      </c>
    </row>
    <row r="14" spans="1:8" x14ac:dyDescent="0.2">
      <c r="A14" s="33" t="s">
        <v>25</v>
      </c>
      <c r="B14" s="17" t="s">
        <v>200</v>
      </c>
      <c r="C14" s="17" t="s">
        <v>273</v>
      </c>
      <c r="D14" s="34" t="s">
        <v>274</v>
      </c>
      <c r="E14" s="17" t="s">
        <v>275</v>
      </c>
    </row>
    <row r="15" spans="1:8" x14ac:dyDescent="0.2">
      <c r="A15" s="33" t="s">
        <v>27</v>
      </c>
      <c r="B15" s="17" t="s">
        <v>28</v>
      </c>
      <c r="C15" s="17" t="s">
        <v>266</v>
      </c>
      <c r="D15" s="34" t="s">
        <v>269</v>
      </c>
      <c r="E15" s="17" t="s">
        <v>276</v>
      </c>
      <c r="H15">
        <f>SUM(H8:H13)</f>
        <v>51000</v>
      </c>
    </row>
    <row r="16" spans="1:8" x14ac:dyDescent="0.2">
      <c r="A16" s="33" t="s">
        <v>30</v>
      </c>
      <c r="B16" s="17" t="s">
        <v>204</v>
      </c>
      <c r="C16" s="17" t="s">
        <v>206</v>
      </c>
      <c r="D16" s="34" t="s">
        <v>277</v>
      </c>
      <c r="E16" s="17" t="s">
        <v>278</v>
      </c>
    </row>
    <row r="17" spans="1:5" x14ac:dyDescent="0.2">
      <c r="A17" s="33" t="s">
        <v>33</v>
      </c>
      <c r="B17" s="17" t="s">
        <v>207</v>
      </c>
      <c r="C17" s="17" t="s">
        <v>206</v>
      </c>
      <c r="D17" s="34" t="s">
        <v>277</v>
      </c>
      <c r="E17" s="17" t="s">
        <v>279</v>
      </c>
    </row>
    <row r="18" spans="1:5" x14ac:dyDescent="0.2">
      <c r="A18" s="33" t="s">
        <v>36</v>
      </c>
      <c r="B18" s="17" t="s">
        <v>209</v>
      </c>
      <c r="C18" s="17" t="s">
        <v>280</v>
      </c>
      <c r="D18" s="34" t="s">
        <v>281</v>
      </c>
      <c r="E18" s="17" t="s">
        <v>282</v>
      </c>
    </row>
    <row r="19" spans="1:5" x14ac:dyDescent="0.2">
      <c r="A19" s="33" t="s">
        <v>39</v>
      </c>
      <c r="B19" s="17" t="s">
        <v>283</v>
      </c>
      <c r="C19" s="17" t="s">
        <v>280</v>
      </c>
      <c r="D19" s="34" t="s">
        <v>284</v>
      </c>
      <c r="E19" s="17"/>
    </row>
    <row r="20" spans="1:5" x14ac:dyDescent="0.2">
      <c r="A20" s="33" t="s">
        <v>42</v>
      </c>
      <c r="B20" s="17" t="s">
        <v>285</v>
      </c>
      <c r="C20" s="17" t="s">
        <v>280</v>
      </c>
      <c r="D20" s="34" t="s">
        <v>286</v>
      </c>
      <c r="E20" s="17" t="s">
        <v>287</v>
      </c>
    </row>
    <row r="22" spans="1:5" ht="16" customHeight="1" x14ac:dyDescent="0.2">
      <c r="A22" s="32" t="s">
        <v>288</v>
      </c>
    </row>
    <row r="23" spans="1:5" ht="32" customHeight="1" x14ac:dyDescent="0.2">
      <c r="A23" s="7" t="s">
        <v>2</v>
      </c>
      <c r="B23" s="7" t="s">
        <v>249</v>
      </c>
      <c r="C23" s="7" t="s">
        <v>250</v>
      </c>
      <c r="D23" s="7" t="s">
        <v>251</v>
      </c>
      <c r="E23" s="7" t="s">
        <v>252</v>
      </c>
    </row>
    <row r="24" spans="1:5" x14ac:dyDescent="0.2">
      <c r="A24" s="74" t="s">
        <v>289</v>
      </c>
      <c r="B24" s="75"/>
      <c r="C24" s="75"/>
      <c r="D24" s="75"/>
      <c r="E24" s="75"/>
    </row>
    <row r="25" spans="1:5" x14ac:dyDescent="0.2">
      <c r="A25" s="33" t="s">
        <v>45</v>
      </c>
      <c r="B25" s="17" t="s">
        <v>46</v>
      </c>
      <c r="C25" s="17" t="s">
        <v>290</v>
      </c>
      <c r="D25" s="61">
        <v>7000</v>
      </c>
      <c r="E25" s="17" t="s">
        <v>291</v>
      </c>
    </row>
    <row r="26" spans="1:5" x14ac:dyDescent="0.2">
      <c r="A26" s="33" t="s">
        <v>48</v>
      </c>
      <c r="B26" s="17" t="s">
        <v>217</v>
      </c>
      <c r="C26" s="17" t="s">
        <v>292</v>
      </c>
      <c r="D26" s="34" t="s">
        <v>293</v>
      </c>
      <c r="E26" s="17" t="s">
        <v>294</v>
      </c>
    </row>
    <row r="27" spans="1:5" x14ac:dyDescent="0.2">
      <c r="A27" s="33" t="s">
        <v>51</v>
      </c>
      <c r="B27" s="17" t="s">
        <v>52</v>
      </c>
      <c r="C27" s="17" t="s">
        <v>295</v>
      </c>
      <c r="D27" s="34" t="s">
        <v>296</v>
      </c>
      <c r="E27" s="17" t="s">
        <v>297</v>
      </c>
    </row>
    <row r="28" spans="1:5" x14ac:dyDescent="0.2">
      <c r="A28" s="74" t="s">
        <v>298</v>
      </c>
      <c r="B28" s="75"/>
      <c r="C28" s="75"/>
      <c r="D28" s="75"/>
      <c r="E28" s="75"/>
    </row>
    <row r="29" spans="1:5" x14ac:dyDescent="0.2">
      <c r="A29" s="33" t="s">
        <v>54</v>
      </c>
      <c r="B29" s="17" t="s">
        <v>299</v>
      </c>
      <c r="C29" s="17" t="s">
        <v>292</v>
      </c>
      <c r="D29" s="34" t="s">
        <v>300</v>
      </c>
      <c r="E29" s="17" t="s">
        <v>301</v>
      </c>
    </row>
    <row r="30" spans="1:5" x14ac:dyDescent="0.2">
      <c r="A30" s="33" t="s">
        <v>57</v>
      </c>
      <c r="B30" s="17" t="s">
        <v>224</v>
      </c>
      <c r="C30" s="17" t="s">
        <v>282</v>
      </c>
      <c r="D30" s="71" t="s">
        <v>302</v>
      </c>
      <c r="E30" s="17"/>
    </row>
    <row r="31" spans="1:5" x14ac:dyDescent="0.2">
      <c r="A31" s="33" t="s">
        <v>60</v>
      </c>
      <c r="B31" s="17" t="s">
        <v>226</v>
      </c>
      <c r="C31" s="17" t="s">
        <v>292</v>
      </c>
      <c r="D31" s="69" t="s">
        <v>303</v>
      </c>
      <c r="E31" s="17"/>
    </row>
    <row r="32" spans="1:5" x14ac:dyDescent="0.2">
      <c r="A32" s="74" t="s">
        <v>304</v>
      </c>
      <c r="B32" s="75"/>
      <c r="C32" s="75"/>
      <c r="D32" s="75"/>
      <c r="E32" s="75"/>
    </row>
    <row r="33" spans="1:5" x14ac:dyDescent="0.2">
      <c r="A33" s="33" t="s">
        <v>63</v>
      </c>
      <c r="B33" s="17" t="s">
        <v>305</v>
      </c>
      <c r="C33" s="17" t="s">
        <v>206</v>
      </c>
      <c r="D33" s="34" t="s">
        <v>306</v>
      </c>
      <c r="E33" s="17"/>
    </row>
    <row r="34" spans="1:5" x14ac:dyDescent="0.2">
      <c r="A34" s="33" t="s">
        <v>67</v>
      </c>
      <c r="B34" s="17" t="s">
        <v>307</v>
      </c>
      <c r="C34" s="17" t="s">
        <v>206</v>
      </c>
      <c r="D34" s="34" t="s">
        <v>306</v>
      </c>
      <c r="E34" s="17"/>
    </row>
    <row r="36" spans="1:5" ht="16" customHeight="1" x14ac:dyDescent="0.2">
      <c r="A36" s="32" t="s">
        <v>308</v>
      </c>
    </row>
    <row r="37" spans="1:5" ht="32" customHeight="1" x14ac:dyDescent="0.2">
      <c r="A37" s="7" t="s">
        <v>2</v>
      </c>
      <c r="B37" s="7" t="s">
        <v>249</v>
      </c>
      <c r="C37" s="7" t="s">
        <v>250</v>
      </c>
      <c r="D37" s="7" t="s">
        <v>251</v>
      </c>
      <c r="E37" s="7" t="s">
        <v>252</v>
      </c>
    </row>
    <row r="38" spans="1:5" x14ac:dyDescent="0.2">
      <c r="A38" s="33" t="s">
        <v>69</v>
      </c>
      <c r="B38" s="17" t="s">
        <v>309</v>
      </c>
      <c r="C38" s="17" t="s">
        <v>206</v>
      </c>
      <c r="D38" s="35" t="s">
        <v>310</v>
      </c>
      <c r="E38" s="17" t="s">
        <v>311</v>
      </c>
    </row>
    <row r="39" spans="1:5" x14ac:dyDescent="0.2">
      <c r="A39" s="33" t="s">
        <v>70</v>
      </c>
      <c r="B39" s="17" t="s">
        <v>312</v>
      </c>
      <c r="C39" s="17" t="s">
        <v>206</v>
      </c>
      <c r="D39" s="35" t="s">
        <v>310</v>
      </c>
      <c r="E39" s="17" t="s">
        <v>313</v>
      </c>
    </row>
    <row r="40" spans="1:5" ht="28" customHeight="1" x14ac:dyDescent="0.2">
      <c r="A40" s="33" t="s">
        <v>71</v>
      </c>
      <c r="B40" s="17" t="s">
        <v>237</v>
      </c>
      <c r="C40" s="17" t="s">
        <v>206</v>
      </c>
      <c r="D40" s="35" t="s">
        <v>310</v>
      </c>
      <c r="E40" s="17" t="s">
        <v>314</v>
      </c>
    </row>
    <row r="42" spans="1:5" ht="16" customHeight="1" x14ac:dyDescent="0.2">
      <c r="A42" s="32" t="s">
        <v>315</v>
      </c>
    </row>
    <row r="43" spans="1:5" ht="32" customHeight="1" x14ac:dyDescent="0.2">
      <c r="A43" s="7" t="s">
        <v>2</v>
      </c>
      <c r="B43" s="7" t="s">
        <v>249</v>
      </c>
      <c r="C43" s="7" t="s">
        <v>250</v>
      </c>
      <c r="D43" s="7" t="s">
        <v>251</v>
      </c>
      <c r="E43" s="7" t="s">
        <v>252</v>
      </c>
    </row>
    <row r="44" spans="1:5" x14ac:dyDescent="0.2">
      <c r="A44" s="33" t="s">
        <v>72</v>
      </c>
      <c r="B44" s="17" t="s">
        <v>316</v>
      </c>
      <c r="C44" s="17" t="s">
        <v>206</v>
      </c>
      <c r="D44" s="36" t="s">
        <v>74</v>
      </c>
      <c r="E44" s="17" t="s">
        <v>317</v>
      </c>
    </row>
    <row r="45" spans="1:5" x14ac:dyDescent="0.2">
      <c r="A45" s="33" t="s">
        <v>75</v>
      </c>
      <c r="B45" s="17" t="s">
        <v>318</v>
      </c>
      <c r="C45" s="17" t="s">
        <v>206</v>
      </c>
      <c r="D45" s="36" t="s">
        <v>74</v>
      </c>
      <c r="E45" s="17" t="s">
        <v>317</v>
      </c>
    </row>
    <row r="46" spans="1:5" x14ac:dyDescent="0.2">
      <c r="A46" s="33" t="s">
        <v>77</v>
      </c>
      <c r="B46" s="17" t="s">
        <v>78</v>
      </c>
      <c r="C46" s="17" t="s">
        <v>206</v>
      </c>
      <c r="D46" s="36" t="s">
        <v>74</v>
      </c>
      <c r="E46" s="17" t="s">
        <v>317</v>
      </c>
    </row>
  </sheetData>
  <mergeCells count="5">
    <mergeCell ref="A24:E24"/>
    <mergeCell ref="A28:E28"/>
    <mergeCell ref="A32:E32"/>
    <mergeCell ref="A6:E6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showGridLines="0" workbookViewId="0">
      <pane ySplit="3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18" customWidth="1"/>
    <col min="3" max="3" width="35" customWidth="1"/>
    <col min="4" max="4" width="22" customWidth="1"/>
  </cols>
  <sheetData>
    <row r="1" spans="1:4" ht="28" customHeight="1" x14ac:dyDescent="0.2">
      <c r="A1" s="1" t="s">
        <v>319</v>
      </c>
    </row>
    <row r="2" spans="1:4" x14ac:dyDescent="0.2">
      <c r="A2" s="6" t="s">
        <v>320</v>
      </c>
    </row>
    <row r="4" spans="1:4" ht="16" customHeight="1" x14ac:dyDescent="0.2">
      <c r="A4" s="32" t="s">
        <v>321</v>
      </c>
    </row>
    <row r="5" spans="1:4" ht="32" customHeight="1" x14ac:dyDescent="0.2">
      <c r="A5" s="7" t="s">
        <v>249</v>
      </c>
      <c r="B5" s="7" t="s">
        <v>322</v>
      </c>
      <c r="C5" s="7" t="s">
        <v>323</v>
      </c>
      <c r="D5" s="7" t="s">
        <v>324</v>
      </c>
    </row>
    <row r="6" spans="1:4" x14ac:dyDescent="0.2">
      <c r="A6" s="37" t="s">
        <v>325</v>
      </c>
      <c r="B6" s="38">
        <v>6000</v>
      </c>
      <c r="C6" s="39">
        <v>0</v>
      </c>
      <c r="D6" s="40">
        <f>B6*(1-C6)</f>
        <v>6000</v>
      </c>
    </row>
    <row r="7" spans="1:4" x14ac:dyDescent="0.2">
      <c r="A7" s="37" t="s">
        <v>326</v>
      </c>
      <c r="B7" s="72">
        <v>22000</v>
      </c>
      <c r="C7" s="41">
        <f>'06_Variables'!$B$9</f>
        <v>0.05</v>
      </c>
      <c r="D7" s="40">
        <f>B7*(1-C7)</f>
        <v>20900</v>
      </c>
    </row>
    <row r="8" spans="1:4" x14ac:dyDescent="0.2">
      <c r="A8" s="37" t="s">
        <v>327</v>
      </c>
      <c r="B8" s="38">
        <v>15000</v>
      </c>
      <c r="C8" s="41">
        <f>'06_Variables'!$B$10</f>
        <v>0.1</v>
      </c>
      <c r="D8" s="40">
        <f>B8*(1-C8)</f>
        <v>13500</v>
      </c>
    </row>
    <row r="9" spans="1:4" x14ac:dyDescent="0.2">
      <c r="A9" s="42" t="s">
        <v>328</v>
      </c>
      <c r="B9" s="43">
        <f>SUM(B6:B8)</f>
        <v>43000</v>
      </c>
      <c r="C9" s="44"/>
      <c r="D9" s="45">
        <f>SUM(D6:D8)</f>
        <v>40400</v>
      </c>
    </row>
    <row r="10" spans="1:4" x14ac:dyDescent="0.2">
      <c r="A10" s="37" t="s">
        <v>329</v>
      </c>
      <c r="B10" s="44"/>
      <c r="C10" s="44"/>
      <c r="D10" s="46">
        <f>B9-D9</f>
        <v>2600</v>
      </c>
    </row>
    <row r="12" spans="1:4" ht="16" customHeight="1" x14ac:dyDescent="0.2">
      <c r="A12" s="32" t="s">
        <v>330</v>
      </c>
    </row>
    <row r="13" spans="1:4" ht="32" customHeight="1" x14ac:dyDescent="0.2">
      <c r="A13" s="7" t="s">
        <v>331</v>
      </c>
      <c r="B13" s="7" t="s">
        <v>332</v>
      </c>
      <c r="C13" s="7" t="s">
        <v>333</v>
      </c>
    </row>
    <row r="14" spans="1:4" x14ac:dyDescent="0.2">
      <c r="A14" s="37">
        <v>1</v>
      </c>
      <c r="B14" s="39">
        <v>0</v>
      </c>
      <c r="C14" s="47" t="s">
        <v>334</v>
      </c>
    </row>
    <row r="15" spans="1:4" x14ac:dyDescent="0.2">
      <c r="A15" s="37">
        <v>2</v>
      </c>
      <c r="B15" s="39">
        <v>0</v>
      </c>
      <c r="C15" s="47" t="s">
        <v>334</v>
      </c>
    </row>
    <row r="16" spans="1:4" x14ac:dyDescent="0.2">
      <c r="A16" s="37">
        <v>3</v>
      </c>
      <c r="B16" s="41">
        <f>'06_Variables'!$B$14</f>
        <v>0.05</v>
      </c>
      <c r="C16" s="47" t="s">
        <v>335</v>
      </c>
    </row>
    <row r="17" spans="1:3" x14ac:dyDescent="0.2">
      <c r="A17" s="37" t="s">
        <v>336</v>
      </c>
      <c r="B17" s="41">
        <f>'06_Variables'!$B$15</f>
        <v>0.1</v>
      </c>
      <c r="C17" s="47" t="s">
        <v>337</v>
      </c>
    </row>
    <row r="18" spans="1:3" x14ac:dyDescent="0.2">
      <c r="A18" s="37" t="s">
        <v>338</v>
      </c>
      <c r="B18" s="41">
        <f>'06_Variables'!$B$16</f>
        <v>0.15</v>
      </c>
      <c r="C18" s="47" t="s">
        <v>339</v>
      </c>
    </row>
    <row r="20" spans="1:3" ht="16" customHeight="1" x14ac:dyDescent="0.2">
      <c r="A20" s="32" t="s">
        <v>340</v>
      </c>
    </row>
    <row r="21" spans="1:3" ht="32" customHeight="1" x14ac:dyDescent="0.2">
      <c r="A21" s="7" t="s">
        <v>341</v>
      </c>
      <c r="B21" s="7" t="s">
        <v>342</v>
      </c>
      <c r="C21" s="7" t="s">
        <v>252</v>
      </c>
    </row>
    <row r="22" spans="1:3" x14ac:dyDescent="0.2">
      <c r="A22" s="37" t="s">
        <v>343</v>
      </c>
      <c r="B22" s="39">
        <v>0</v>
      </c>
      <c r="C22" s="47" t="s">
        <v>344</v>
      </c>
    </row>
    <row r="23" spans="1:3" x14ac:dyDescent="0.2">
      <c r="A23" s="37" t="s">
        <v>345</v>
      </c>
      <c r="B23" s="41">
        <f>'06_Variables'!$B$19</f>
        <v>0.05</v>
      </c>
      <c r="C23" s="47" t="s">
        <v>346</v>
      </c>
    </row>
    <row r="24" spans="1:3" x14ac:dyDescent="0.2">
      <c r="A24" s="37" t="s">
        <v>347</v>
      </c>
      <c r="B24" s="41">
        <f>'06_Variables'!$B$20</f>
        <v>0.1</v>
      </c>
      <c r="C24" s="47" t="s">
        <v>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showGridLines="0" workbookViewId="0">
      <pane xSplit="2" ySplit="4" topLeftCell="C9" activePane="bottomRight" state="frozen"/>
      <selection pane="topRight"/>
      <selection pane="bottomLeft"/>
      <selection pane="bottomRight" activeCell="I26" sqref="I26"/>
    </sheetView>
  </sheetViews>
  <sheetFormatPr baseColWidth="10" defaultColWidth="8.83203125" defaultRowHeight="15" x14ac:dyDescent="0.2"/>
  <cols>
    <col min="1" max="1" width="45" customWidth="1"/>
    <col min="2" max="2" width="18" customWidth="1"/>
    <col min="3" max="6" width="16" customWidth="1"/>
  </cols>
  <sheetData>
    <row r="1" spans="1:6" ht="28" customHeight="1" x14ac:dyDescent="0.2">
      <c r="A1" s="1" t="s">
        <v>349</v>
      </c>
    </row>
    <row r="2" spans="1:6" x14ac:dyDescent="0.2">
      <c r="A2" s="6" t="s">
        <v>350</v>
      </c>
    </row>
    <row r="4" spans="1:6" ht="32" customHeight="1" x14ac:dyDescent="0.2">
      <c r="A4" s="7" t="s">
        <v>249</v>
      </c>
      <c r="B4" s="7" t="s">
        <v>351</v>
      </c>
      <c r="C4" s="7" t="s">
        <v>352</v>
      </c>
      <c r="D4" s="7" t="s">
        <v>353</v>
      </c>
      <c r="E4" s="7" t="s">
        <v>354</v>
      </c>
      <c r="F4" s="7" t="s">
        <v>355</v>
      </c>
    </row>
    <row r="5" spans="1:6" x14ac:dyDescent="0.2">
      <c r="A5" s="17" t="s">
        <v>356</v>
      </c>
      <c r="B5" s="48">
        <v>6000</v>
      </c>
      <c r="C5" s="49">
        <v>1</v>
      </c>
      <c r="D5" s="49">
        <v>1</v>
      </c>
      <c r="E5" s="49">
        <v>1</v>
      </c>
      <c r="F5" s="50">
        <v>1</v>
      </c>
    </row>
    <row r="6" spans="1:6" x14ac:dyDescent="0.2">
      <c r="A6" s="17" t="s">
        <v>357</v>
      </c>
      <c r="B6" s="73">
        <v>22000</v>
      </c>
      <c r="C6" s="49">
        <v>0</v>
      </c>
      <c r="D6" s="49">
        <v>1</v>
      </c>
      <c r="E6" s="49">
        <v>1</v>
      </c>
      <c r="F6" s="50">
        <v>0</v>
      </c>
    </row>
    <row r="7" spans="1:6" x14ac:dyDescent="0.2">
      <c r="A7" s="17" t="s">
        <v>358</v>
      </c>
      <c r="B7" s="48">
        <v>4000</v>
      </c>
      <c r="C7" s="49">
        <v>0</v>
      </c>
      <c r="D7" s="49">
        <v>1</v>
      </c>
      <c r="E7" s="49">
        <v>1</v>
      </c>
      <c r="F7" s="50">
        <v>0</v>
      </c>
    </row>
    <row r="8" spans="1:6" x14ac:dyDescent="0.2">
      <c r="A8" s="17" t="s">
        <v>359</v>
      </c>
      <c r="B8" s="73">
        <v>12000</v>
      </c>
      <c r="C8" s="49">
        <v>0</v>
      </c>
      <c r="D8" s="49">
        <v>1</v>
      </c>
      <c r="E8" s="49">
        <v>1</v>
      </c>
      <c r="F8" s="50">
        <v>0</v>
      </c>
    </row>
    <row r="9" spans="1:6" x14ac:dyDescent="0.2">
      <c r="A9" s="17" t="s">
        <v>360</v>
      </c>
      <c r="B9" s="73">
        <v>4500</v>
      </c>
      <c r="C9" s="49">
        <v>0</v>
      </c>
      <c r="D9" s="49">
        <v>0</v>
      </c>
      <c r="E9" s="49">
        <v>1</v>
      </c>
      <c r="F9" s="50">
        <v>0</v>
      </c>
    </row>
    <row r="10" spans="1:6" x14ac:dyDescent="0.2">
      <c r="A10" s="17" t="s">
        <v>361</v>
      </c>
      <c r="B10" s="48">
        <v>11000</v>
      </c>
      <c r="C10" s="49">
        <v>0</v>
      </c>
      <c r="D10" s="49">
        <v>0</v>
      </c>
      <c r="E10" s="49">
        <v>0</v>
      </c>
      <c r="F10" s="50">
        <v>0</v>
      </c>
    </row>
    <row r="11" spans="1:6" x14ac:dyDescent="0.2">
      <c r="A11" s="17" t="s">
        <v>362</v>
      </c>
      <c r="B11" s="48">
        <v>15000</v>
      </c>
      <c r="C11" s="49">
        <v>0</v>
      </c>
      <c r="D11" s="49">
        <v>0</v>
      </c>
      <c r="E11" s="49">
        <v>1</v>
      </c>
      <c r="F11" s="50">
        <v>0</v>
      </c>
    </row>
    <row r="12" spans="1:6" x14ac:dyDescent="0.2">
      <c r="A12" s="17" t="s">
        <v>363</v>
      </c>
      <c r="B12" s="48">
        <v>4500</v>
      </c>
      <c r="C12" s="49">
        <v>0</v>
      </c>
      <c r="D12" s="49">
        <v>0</v>
      </c>
      <c r="E12" s="49">
        <v>1</v>
      </c>
      <c r="F12" s="50">
        <v>0</v>
      </c>
    </row>
    <row r="13" spans="1:6" x14ac:dyDescent="0.2">
      <c r="A13" s="17" t="s">
        <v>364</v>
      </c>
      <c r="B13" s="48">
        <v>22500</v>
      </c>
      <c r="C13" s="49">
        <v>0</v>
      </c>
      <c r="D13" s="49">
        <v>0</v>
      </c>
      <c r="E13" s="49">
        <v>1</v>
      </c>
      <c r="F13" s="50">
        <v>0</v>
      </c>
    </row>
    <row r="14" spans="1:6" x14ac:dyDescent="0.2">
      <c r="A14" s="17" t="s">
        <v>365</v>
      </c>
      <c r="B14" s="48">
        <v>22500</v>
      </c>
      <c r="C14" s="49">
        <v>0</v>
      </c>
      <c r="D14" s="49">
        <v>0</v>
      </c>
      <c r="E14" s="49">
        <v>0</v>
      </c>
      <c r="F14" s="50">
        <v>0</v>
      </c>
    </row>
    <row r="15" spans="1:6" x14ac:dyDescent="0.2">
      <c r="A15" s="17" t="s">
        <v>366</v>
      </c>
      <c r="B15" s="48">
        <v>5000</v>
      </c>
      <c r="C15" s="49">
        <v>0</v>
      </c>
      <c r="D15" s="49">
        <v>0</v>
      </c>
      <c r="E15" s="49">
        <v>1</v>
      </c>
      <c r="F15" s="50">
        <v>0</v>
      </c>
    </row>
    <row r="16" spans="1:6" x14ac:dyDescent="0.2">
      <c r="A16" s="17" t="s">
        <v>367</v>
      </c>
      <c r="B16" s="48">
        <v>3000</v>
      </c>
      <c r="C16" s="49">
        <v>0</v>
      </c>
      <c r="D16" s="49">
        <v>0</v>
      </c>
      <c r="E16" s="49">
        <v>0</v>
      </c>
      <c r="F16" s="50">
        <v>0</v>
      </c>
    </row>
    <row r="17" spans="1:6" x14ac:dyDescent="0.2">
      <c r="A17" s="17" t="s">
        <v>368</v>
      </c>
      <c r="B17" s="48">
        <v>2500</v>
      </c>
      <c r="C17" s="49">
        <v>0</v>
      </c>
      <c r="D17" s="49">
        <v>0</v>
      </c>
      <c r="E17" s="49">
        <v>0</v>
      </c>
      <c r="F17" s="50">
        <v>0</v>
      </c>
    </row>
    <row r="18" spans="1:6" x14ac:dyDescent="0.2">
      <c r="A18" s="17" t="s">
        <v>369</v>
      </c>
      <c r="B18" s="48">
        <v>10000</v>
      </c>
      <c r="C18" s="49">
        <v>0</v>
      </c>
      <c r="D18" s="49">
        <v>1</v>
      </c>
      <c r="E18" s="49">
        <v>1</v>
      </c>
      <c r="F18" s="50">
        <v>0</v>
      </c>
    </row>
    <row r="19" spans="1:6" x14ac:dyDescent="0.2">
      <c r="A19" s="17" t="s">
        <v>370</v>
      </c>
      <c r="B19" s="48">
        <v>36000</v>
      </c>
      <c r="C19" s="49">
        <v>0</v>
      </c>
      <c r="D19" s="49">
        <v>1</v>
      </c>
      <c r="E19" s="49">
        <v>1</v>
      </c>
      <c r="F19" s="50">
        <v>1</v>
      </c>
    </row>
    <row r="20" spans="1:6" x14ac:dyDescent="0.2">
      <c r="A20" s="17" t="s">
        <v>371</v>
      </c>
      <c r="B20" s="48">
        <v>54000</v>
      </c>
      <c r="C20" s="49">
        <v>0</v>
      </c>
      <c r="D20" s="49">
        <v>1</v>
      </c>
      <c r="E20" s="49">
        <v>1</v>
      </c>
      <c r="F20" s="50">
        <v>1</v>
      </c>
    </row>
    <row r="21" spans="1:6" x14ac:dyDescent="0.2">
      <c r="A21" s="17" t="s">
        <v>372</v>
      </c>
      <c r="B21" s="73">
        <v>1800</v>
      </c>
      <c r="C21" s="49">
        <v>0</v>
      </c>
      <c r="D21" s="49">
        <v>0</v>
      </c>
      <c r="E21" s="49">
        <v>1</v>
      </c>
      <c r="F21" s="50">
        <v>0</v>
      </c>
    </row>
    <row r="22" spans="1:6" x14ac:dyDescent="0.2">
      <c r="A22" s="17" t="s">
        <v>373</v>
      </c>
      <c r="B22" s="73">
        <v>18000</v>
      </c>
      <c r="C22" s="49">
        <v>0</v>
      </c>
      <c r="D22" s="49">
        <v>0</v>
      </c>
      <c r="E22" s="49">
        <v>1</v>
      </c>
      <c r="F22" s="50">
        <v>0</v>
      </c>
    </row>
    <row r="23" spans="1:6" x14ac:dyDescent="0.2">
      <c r="A23" s="42" t="s">
        <v>374</v>
      </c>
      <c r="B23" s="44"/>
      <c r="C23" s="51">
        <f>SUMPRODUCT($B$5:$B$22,C5:C22)</f>
        <v>6000</v>
      </c>
      <c r="D23" s="51">
        <f>SUMPRODUCT($B$5:$B$22,D5:D22)</f>
        <v>144000</v>
      </c>
      <c r="E23" s="51">
        <f>SUMPRODUCT($B$5:$B$22,E5:E22)</f>
        <v>215300</v>
      </c>
      <c r="F23" s="51">
        <f>SUMPRODUCT($B$5:$B$22,F5:F22)</f>
        <v>96000</v>
      </c>
    </row>
    <row r="24" spans="1:6" x14ac:dyDescent="0.2">
      <c r="A24" s="37" t="s">
        <v>375</v>
      </c>
      <c r="B24" s="72">
        <v>22000</v>
      </c>
      <c r="C24" s="52">
        <f>IF(AND(C5=1,C6=1),-B6*'06_Variables'!$B$9,0)</f>
        <v>0</v>
      </c>
      <c r="D24" s="52">
        <f>IF(AND(D5=1,D6=1),-B6*'06_Variables'!$B$9,0)</f>
        <v>-1100</v>
      </c>
      <c r="E24" s="52">
        <f>IF(AND(E5=1,E6=1),-B6*'06_Variables'!$B$9,0)</f>
        <v>-1100</v>
      </c>
      <c r="F24" s="52">
        <f>IF(AND(F5=1,F6=1),-B6*'06_Variables'!$B$9,0)</f>
        <v>0</v>
      </c>
    </row>
    <row r="25" spans="1:6" x14ac:dyDescent="0.2">
      <c r="A25" s="37" t="s">
        <v>376</v>
      </c>
      <c r="B25" s="44"/>
      <c r="C25" s="52">
        <f>IF(AND(C5=1,C6=1,C11=1),-B11*'06_Variables'!$B$10,0)</f>
        <v>0</v>
      </c>
      <c r="D25" s="52">
        <f>IF(AND(D5=1,D6=1,D11=1),-B11*'06_Variables'!$B$10,0)</f>
        <v>0</v>
      </c>
      <c r="E25" s="52">
        <f>IF(AND(E5=1,E6=1,E11=1),-B11*'06_Variables'!$B$10,0)</f>
        <v>-1500</v>
      </c>
      <c r="F25" s="52">
        <f>IF(AND(F5=1,F6=1,F11=1),-B11*'06_Variables'!$B$10,0)</f>
        <v>0</v>
      </c>
    </row>
    <row r="26" spans="1:6" ht="16" customHeight="1" x14ac:dyDescent="0.2">
      <c r="A26" s="53" t="s">
        <v>377</v>
      </c>
      <c r="B26" s="44"/>
      <c r="C26" s="54">
        <f>SUM(C23:C25)</f>
        <v>6000</v>
      </c>
      <c r="D26" s="54">
        <f>SUM(D23:D25)</f>
        <v>142900</v>
      </c>
      <c r="E26" s="54">
        <f>SUM(E23:E25)</f>
        <v>212700</v>
      </c>
      <c r="F26" s="54">
        <f>SUM(F23:F25)</f>
        <v>96000</v>
      </c>
    </row>
    <row r="27" spans="1:6" x14ac:dyDescent="0.2">
      <c r="A27" s="55" t="s">
        <v>378</v>
      </c>
      <c r="B27" s="56" t="s">
        <v>65</v>
      </c>
      <c r="C27" s="56" t="s">
        <v>65</v>
      </c>
      <c r="D27" s="56" t="s">
        <v>65</v>
      </c>
      <c r="E27" s="56" t="s">
        <v>65</v>
      </c>
      <c r="F27" s="56" t="s">
        <v>65</v>
      </c>
    </row>
    <row r="28" spans="1:6" x14ac:dyDescent="0.2">
      <c r="A28" s="55" t="s">
        <v>379</v>
      </c>
      <c r="B28" s="56" t="s">
        <v>12</v>
      </c>
      <c r="C28" s="56" t="s">
        <v>12</v>
      </c>
      <c r="D28" s="56" t="s">
        <v>12</v>
      </c>
      <c r="E28" s="56" t="s">
        <v>12</v>
      </c>
      <c r="F28" s="56" t="s">
        <v>12</v>
      </c>
    </row>
    <row r="30" spans="1:6" ht="16" customHeight="1" x14ac:dyDescent="0.2">
      <c r="A30" s="32" t="s">
        <v>380</v>
      </c>
    </row>
    <row r="31" spans="1:6" x14ac:dyDescent="0.2">
      <c r="A31" s="57" t="s">
        <v>381</v>
      </c>
      <c r="B31" s="76" t="s">
        <v>382</v>
      </c>
      <c r="C31" s="77"/>
      <c r="D31" s="77"/>
      <c r="E31" s="77"/>
      <c r="F31" s="78"/>
    </row>
    <row r="32" spans="1:6" x14ac:dyDescent="0.2">
      <c r="A32" s="57" t="s">
        <v>383</v>
      </c>
      <c r="B32" s="76" t="s">
        <v>384</v>
      </c>
      <c r="C32" s="77"/>
      <c r="D32" s="77"/>
      <c r="E32" s="77"/>
      <c r="F32" s="78"/>
    </row>
    <row r="33" spans="1:6" x14ac:dyDescent="0.2">
      <c r="A33" s="57" t="s">
        <v>385</v>
      </c>
      <c r="B33" s="76" t="s">
        <v>386</v>
      </c>
      <c r="C33" s="77"/>
      <c r="D33" s="77"/>
      <c r="E33" s="77"/>
      <c r="F33" s="78"/>
    </row>
    <row r="34" spans="1:6" x14ac:dyDescent="0.2">
      <c r="A34" s="57" t="s">
        <v>387</v>
      </c>
      <c r="B34" s="76" t="s">
        <v>388</v>
      </c>
      <c r="C34" s="77"/>
      <c r="D34" s="77"/>
      <c r="E34" s="77"/>
      <c r="F34" s="78"/>
    </row>
  </sheetData>
  <mergeCells count="4">
    <mergeCell ref="B32:F32"/>
    <mergeCell ref="B34:F34"/>
    <mergeCell ref="B31:F31"/>
    <mergeCell ref="B33:F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6" customWidth="1"/>
    <col min="3" max="3" width="10" customWidth="1"/>
    <col min="4" max="4" width="50" customWidth="1"/>
  </cols>
  <sheetData>
    <row r="1" spans="1:4" ht="28" customHeight="1" x14ac:dyDescent="0.2">
      <c r="A1" s="1" t="s">
        <v>389</v>
      </c>
    </row>
    <row r="2" spans="1:4" x14ac:dyDescent="0.2">
      <c r="A2" s="6" t="s">
        <v>390</v>
      </c>
    </row>
    <row r="4" spans="1:4" ht="32" customHeight="1" x14ac:dyDescent="0.2">
      <c r="A4" s="7" t="s">
        <v>391</v>
      </c>
      <c r="B4" s="7" t="s">
        <v>392</v>
      </c>
      <c r="C4" s="7" t="s">
        <v>393</v>
      </c>
      <c r="D4" s="7" t="s">
        <v>252</v>
      </c>
    </row>
    <row r="5" spans="1:4" x14ac:dyDescent="0.2">
      <c r="A5" s="79" t="s">
        <v>394</v>
      </c>
      <c r="B5" s="77"/>
      <c r="C5" s="77"/>
      <c r="D5" s="78"/>
    </row>
    <row r="6" spans="1:4" x14ac:dyDescent="0.2">
      <c r="A6" s="17" t="s">
        <v>395</v>
      </c>
      <c r="B6" s="48">
        <v>650</v>
      </c>
      <c r="C6" s="49" t="s">
        <v>396</v>
      </c>
      <c r="D6" s="22" t="s">
        <v>397</v>
      </c>
    </row>
    <row r="7" spans="1:4" x14ac:dyDescent="0.2">
      <c r="A7" s="44"/>
      <c r="B7" s="44"/>
      <c r="C7" s="44"/>
      <c r="D7" s="44"/>
    </row>
    <row r="8" spans="1:4" x14ac:dyDescent="0.2">
      <c r="A8" s="79" t="s">
        <v>398</v>
      </c>
      <c r="B8" s="77"/>
      <c r="C8" s="77"/>
      <c r="D8" s="78"/>
    </row>
    <row r="9" spans="1:4" x14ac:dyDescent="0.2">
      <c r="A9" s="17" t="s">
        <v>399</v>
      </c>
      <c r="B9" s="58">
        <v>0.05</v>
      </c>
      <c r="C9" s="49" t="s">
        <v>400</v>
      </c>
      <c r="D9" s="22" t="s">
        <v>401</v>
      </c>
    </row>
    <row r="10" spans="1:4" x14ac:dyDescent="0.2">
      <c r="A10" s="17" t="s">
        <v>402</v>
      </c>
      <c r="B10" s="58">
        <v>0.1</v>
      </c>
      <c r="C10" s="49" t="s">
        <v>400</v>
      </c>
      <c r="D10" s="22" t="s">
        <v>403</v>
      </c>
    </row>
    <row r="11" spans="1:4" x14ac:dyDescent="0.2">
      <c r="A11" s="44"/>
      <c r="B11" s="44"/>
      <c r="C11" s="44"/>
      <c r="D11" s="44"/>
    </row>
    <row r="12" spans="1:4" x14ac:dyDescent="0.2">
      <c r="A12" s="79" t="s">
        <v>330</v>
      </c>
      <c r="B12" s="77"/>
      <c r="C12" s="77"/>
      <c r="D12" s="78"/>
    </row>
    <row r="13" spans="1:4" x14ac:dyDescent="0.2">
      <c r="A13" s="17" t="s">
        <v>404</v>
      </c>
      <c r="B13" s="59">
        <v>3</v>
      </c>
      <c r="C13" s="49" t="s">
        <v>405</v>
      </c>
      <c r="D13" s="22"/>
    </row>
    <row r="14" spans="1:4" x14ac:dyDescent="0.2">
      <c r="A14" s="17" t="s">
        <v>406</v>
      </c>
      <c r="B14" s="58">
        <v>0.05</v>
      </c>
      <c r="C14" s="49" t="s">
        <v>400</v>
      </c>
      <c r="D14" s="22"/>
    </row>
    <row r="15" spans="1:4" x14ac:dyDescent="0.2">
      <c r="A15" s="17" t="s">
        <v>407</v>
      </c>
      <c r="B15" s="58">
        <v>0.1</v>
      </c>
      <c r="C15" s="49" t="s">
        <v>400</v>
      </c>
      <c r="D15" s="22"/>
    </row>
    <row r="16" spans="1:4" x14ac:dyDescent="0.2">
      <c r="A16" s="17" t="s">
        <v>408</v>
      </c>
      <c r="B16" s="58">
        <v>0.15</v>
      </c>
      <c r="C16" s="49" t="s">
        <v>400</v>
      </c>
      <c r="D16" s="22"/>
    </row>
    <row r="17" spans="1:4" x14ac:dyDescent="0.2">
      <c r="A17" s="44"/>
      <c r="B17" s="44"/>
      <c r="C17" s="44"/>
      <c r="D17" s="44"/>
    </row>
    <row r="18" spans="1:4" x14ac:dyDescent="0.2">
      <c r="A18" s="79" t="s">
        <v>340</v>
      </c>
      <c r="B18" s="77"/>
      <c r="C18" s="77"/>
      <c r="D18" s="78"/>
    </row>
    <row r="19" spans="1:4" x14ac:dyDescent="0.2">
      <c r="A19" s="17" t="s">
        <v>409</v>
      </c>
      <c r="B19" s="58">
        <v>0.05</v>
      </c>
      <c r="C19" s="49" t="s">
        <v>400</v>
      </c>
      <c r="D19" s="22" t="s">
        <v>410</v>
      </c>
    </row>
    <row r="20" spans="1:4" x14ac:dyDescent="0.2">
      <c r="A20" s="17" t="s">
        <v>411</v>
      </c>
      <c r="B20" s="58">
        <v>0.1</v>
      </c>
      <c r="C20" s="49" t="s">
        <v>400</v>
      </c>
      <c r="D20" s="22" t="s">
        <v>410</v>
      </c>
    </row>
    <row r="21" spans="1:4" x14ac:dyDescent="0.2">
      <c r="A21" s="44"/>
      <c r="B21" s="44"/>
      <c r="C21" s="44"/>
      <c r="D21" s="44"/>
    </row>
    <row r="22" spans="1:4" x14ac:dyDescent="0.2">
      <c r="A22" s="79" t="s">
        <v>412</v>
      </c>
      <c r="B22" s="77"/>
      <c r="C22" s="77"/>
      <c r="D22" s="78"/>
    </row>
    <row r="23" spans="1:4" x14ac:dyDescent="0.2">
      <c r="A23" s="17" t="s">
        <v>413</v>
      </c>
      <c r="B23" s="60">
        <v>2.5</v>
      </c>
      <c r="C23" s="49" t="s">
        <v>414</v>
      </c>
      <c r="D23" s="22" t="s">
        <v>415</v>
      </c>
    </row>
    <row r="24" spans="1:4" x14ac:dyDescent="0.2">
      <c r="A24" s="17" t="s">
        <v>416</v>
      </c>
      <c r="B24" s="59">
        <v>1</v>
      </c>
      <c r="C24" s="49" t="s">
        <v>417</v>
      </c>
      <c r="D24" s="22" t="s">
        <v>418</v>
      </c>
    </row>
    <row r="25" spans="1:4" x14ac:dyDescent="0.2">
      <c r="A25" s="17" t="s">
        <v>419</v>
      </c>
      <c r="B25" s="59">
        <v>6</v>
      </c>
      <c r="C25" s="49" t="s">
        <v>414</v>
      </c>
      <c r="D25" s="22"/>
    </row>
    <row r="26" spans="1:4" x14ac:dyDescent="0.2">
      <c r="A26" s="17" t="s">
        <v>420</v>
      </c>
      <c r="B26" s="59">
        <v>30</v>
      </c>
      <c r="C26" s="49" t="s">
        <v>421</v>
      </c>
      <c r="D26" s="22" t="s">
        <v>422</v>
      </c>
    </row>
  </sheetData>
  <mergeCells count="5">
    <mergeCell ref="A5:D5"/>
    <mergeCell ref="A18:D18"/>
    <mergeCell ref="A8:D8"/>
    <mergeCell ref="A22:D22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00_README</vt:lpstr>
      <vt:lpstr>01_Master_Catalog</vt:lpstr>
      <vt:lpstr>02_Pricing_Detail</vt:lpstr>
      <vt:lpstr>03_Pacchetti_Commerciali</vt:lpstr>
      <vt:lpstr>04_Bundle_Sconti</vt:lpstr>
      <vt:lpstr>05_Scenari_Vendita</vt:lpstr>
      <vt:lpstr>06_Variables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 Sanvoisin</cp:lastModifiedBy>
  <dcterms:created xsi:type="dcterms:W3CDTF">2026-05-27T12:52:33Z</dcterms:created>
  <dcterms:modified xsi:type="dcterms:W3CDTF">2026-05-27T17:26:22Z</dcterms:modified>
</cp:coreProperties>
</file>
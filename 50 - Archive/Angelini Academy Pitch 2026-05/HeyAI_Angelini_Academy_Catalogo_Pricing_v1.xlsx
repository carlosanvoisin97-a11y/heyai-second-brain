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Master_Catalog" sheetId="2" state="visible" r:id="rId2"/>
    <sheet name="02_Pricing_Detail" sheetId="3" state="visible" r:id="rId3"/>
    <sheet name="03_Pacchetti_Commerciali" sheetId="4" state="visible" r:id="rId4"/>
    <sheet name="04_Bundle_Sconti" sheetId="5" state="visible" r:id="rId5"/>
    <sheet name="05_Scenari_Vendita" sheetId="6" state="visible" r:id="rId6"/>
    <sheet name="06_Call_Elena_FuturItaly" sheetId="7" state="visible" r:id="rId7"/>
    <sheet name="07_Variables" sheetId="8" state="visible" r:id="rId8"/>
  </sheets>
  <definedNames>
    <definedName name="_xlnm._FilterDatabase" localSheetId="1" hidden="1">'01_Master_Catalog'!$A$3:$J$31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€&quot; #,##0"/>
    <numFmt numFmtId="165" formatCode="0.0%"/>
    <numFmt numFmtId="166" formatCode="0.0"/>
    <numFmt numFmtId="167" formatCode="&quot;€&quot; #,##0;[Red](&quot;€&quot; #,##0)"/>
  </numFmts>
  <fonts count="17">
    <font>
      <name val="Calibri"/>
      <family val="2"/>
      <color theme="1"/>
      <sz val="11"/>
      <scheme val="minor"/>
    </font>
    <font>
      <name val="Arial"/>
      <b val="1"/>
      <color rgb="002B8C96"/>
      <sz val="16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606060"/>
      <sz val="9"/>
    </font>
    <font>
      <name val="Arial"/>
      <b val="1"/>
      <color rgb="00FFFFFF"/>
      <sz val="11"/>
    </font>
    <font>
      <name val="Arial"/>
      <b val="1"/>
      <color rgb="000000FF"/>
      <sz val="10"/>
    </font>
    <font>
      <name val="Arial"/>
      <b val="1"/>
      <color rgb="00156082"/>
      <sz val="10"/>
    </font>
    <font>
      <name val="Arial"/>
      <b val="1"/>
      <color rgb="00000000"/>
      <sz val="9"/>
    </font>
    <font>
      <name val="Arial"/>
      <color rgb="00008000"/>
      <sz val="10"/>
    </font>
    <font>
      <name val="Arial"/>
      <b val="1"/>
      <color rgb="002B8C96"/>
      <sz val="10"/>
    </font>
    <font>
      <name val="Arial"/>
      <b val="1"/>
      <color rgb="00156082"/>
      <sz val="12"/>
    </font>
    <font>
      <name val="Arial"/>
      <b val="1"/>
      <color rgb="00C58800"/>
      <sz val="10"/>
    </font>
    <font>
      <name val="Arial"/>
      <b val="1"/>
      <color rgb="00009000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DF2F7"/>
      </patternFill>
    </fill>
    <fill>
      <patternFill patternType="solid">
        <fgColor rgb="00FFFFCC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B8C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6" fontId="8" fillId="4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7" fontId="3" fillId="0" borderId="1" pivotButton="0" quotePrefix="0" xfId="0"/>
    <xf numFmtId="165" fontId="3" fillId="0" borderId="1" pivotButton="0" quotePrefix="0" xfId="0"/>
    <xf numFmtId="0" fontId="6" fillId="0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164" fontId="11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7" fontId="3" fillId="6" borderId="1" pivotButton="0" quotePrefix="0" xfId="0"/>
    <xf numFmtId="165" fontId="3" fillId="6" borderId="1" pivotButton="0" quotePrefix="0" xfId="0"/>
    <xf numFmtId="0" fontId="6" fillId="6" borderId="1" applyAlignment="1" pivotButton="0" quotePrefix="0" xfId="0">
      <alignment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6" fillId="6" borderId="1" pivotButton="0" quotePrefix="0" xfId="0"/>
    <xf numFmtId="0" fontId="13" fillId="0" borderId="0" applyAlignment="1" pivotButton="0" quotePrefix="0" xfId="0">
      <alignment horizontal="left" vertical="center"/>
    </xf>
    <xf numFmtId="0" fontId="5" fillId="3" borderId="0" pivotButton="0" quotePrefix="0" xfId="0"/>
    <xf numFmtId="0" fontId="9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 wrapText="1"/>
    </xf>
    <xf numFmtId="164" fontId="1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pivotButton="0" quotePrefix="0" xfId="0"/>
    <xf numFmtId="164" fontId="8" fillId="4" borderId="1" pivotButton="0" quotePrefix="0" xfId="0"/>
    <xf numFmtId="165" fontId="6" fillId="0" borderId="1" pivotButton="0" quotePrefix="0" xfId="0"/>
    <xf numFmtId="164" fontId="3" fillId="0" borderId="1" pivotButton="0" quotePrefix="0" xfId="0"/>
    <xf numFmtId="165" fontId="11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0" fillId="0" borderId="1" pivotButton="0" quotePrefix="0" xfId="0"/>
    <xf numFmtId="164" fontId="12" fillId="3" borderId="1" pivotButton="0" quotePrefix="0" xfId="0"/>
    <xf numFmtId="164" fontId="15" fillId="0" borderId="1" pivotButton="0" quotePrefix="0" xfId="0"/>
    <xf numFmtId="164" fontId="8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7" fillId="10" borderId="1" pivotButton="0" quotePrefix="0" xfId="0"/>
    <xf numFmtId="164" fontId="16" fillId="10" borderId="1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28" customHeight="1">
      <c r="A1" s="1" t="inlineStr">
        <is>
          <t>Catalogo Servizi e Pricing — Angelini Academy</t>
        </is>
      </c>
    </row>
    <row r="3">
      <c r="A3" s="2" t="inlineStr"/>
      <c r="B3" s="3" t="inlineStr"/>
    </row>
    <row r="4">
      <c r="A4" s="4" t="inlineStr">
        <is>
          <t>Documento di lavoro per:</t>
        </is>
      </c>
      <c r="B4" s="3" t="inlineStr">
        <is>
          <t>Carlo Sanvoisin (HeyAI)</t>
        </is>
      </c>
    </row>
    <row r="5">
      <c r="A5" s="4" t="inlineStr">
        <is>
          <t>Partner co-discussione economics:</t>
        </is>
      </c>
      <c r="B5" s="3" t="inlineStr">
        <is>
          <t>Daniele Caporale + Elena Chiti (FuturItaly)</t>
        </is>
      </c>
    </row>
    <row r="6">
      <c r="A6" s="4" t="inlineStr">
        <is>
          <t>Cliente target:</t>
        </is>
      </c>
      <c r="B6" s="3" t="inlineStr">
        <is>
          <t>Angelini Academy (Angelini Industries — Communication &amp; Brand)</t>
        </is>
      </c>
    </row>
    <row r="7">
      <c r="A7" s="4" t="inlineStr">
        <is>
          <t>Data versione:</t>
        </is>
      </c>
      <c r="B7" s="3" t="inlineStr">
        <is>
          <t>Maggio 2026 — v1</t>
        </is>
      </c>
    </row>
    <row r="8">
      <c r="A8" s="4" t="inlineStr">
        <is>
          <t>Status:</t>
        </is>
      </c>
      <c r="B8" s="3" t="inlineStr">
        <is>
          <t>Working draft per call Elena + raffinamento pricing</t>
        </is>
      </c>
    </row>
    <row r="9">
      <c r="A9" s="2" t="inlineStr"/>
      <c r="B9" s="3" t="inlineStr"/>
    </row>
    <row r="10">
      <c r="A10" s="5" t="inlineStr">
        <is>
          <t>INDICE FOGLI</t>
        </is>
      </c>
      <c r="B10" s="3" t="inlineStr"/>
    </row>
    <row r="11">
      <c r="A11" s="5" t="inlineStr">
        <is>
          <t>00_README</t>
        </is>
      </c>
      <c r="B11" s="3" t="inlineStr">
        <is>
          <t>Guida d'uso + indice + legenda colori (questo foglio)</t>
        </is>
      </c>
    </row>
    <row r="12">
      <c r="A12" s="4" t="inlineStr">
        <is>
          <t>01_Master_Catalog</t>
        </is>
      </c>
      <c r="B12" s="3" t="inlineStr">
        <is>
          <t>Catalogo completo dei servizi con classificazione su 8 variabili strategiche</t>
        </is>
      </c>
    </row>
    <row r="13">
      <c r="A13" s="4" t="inlineStr">
        <is>
          <t>02_Pricing_Detail</t>
        </is>
      </c>
      <c r="B13" s="3" t="inlineStr">
        <is>
          <t>Calcoli pricing per ogni voce: effort, tariffa, costo, markup, prezzo cliente, margini</t>
        </is>
      </c>
    </row>
    <row r="14">
      <c r="A14" s="4" t="inlineStr">
        <is>
          <t>03_Pacchetti_Commerciali</t>
        </is>
      </c>
      <c r="B14" s="3" t="inlineStr">
        <is>
          <t>Struttura commerciale finale: P1 Sito · P2 Editoriale&amp;Social · P3 FuturItaly · P4 Kit</t>
        </is>
      </c>
    </row>
    <row r="15">
      <c r="A15" s="4" t="inlineStr">
        <is>
          <t>04_Bundle_Sconti</t>
        </is>
      </c>
      <c r="B15" s="3" t="inlineStr">
        <is>
          <t>Logica sconti progressive su bundle, volume add-on, lock-in continuativi</t>
        </is>
      </c>
    </row>
    <row r="16">
      <c r="A16" s="4" t="inlineStr">
        <is>
          <t>05_Scenari_Vendita</t>
        </is>
      </c>
      <c r="B16" s="3" t="inlineStr">
        <is>
          <t>3 scenari pre-calcolati: Entry · Standard · Premium + selector personalizzato</t>
        </is>
      </c>
    </row>
    <row r="17">
      <c r="A17" s="4" t="inlineStr">
        <is>
          <t>06_Call_Elena_FuturItaly</t>
        </is>
      </c>
      <c r="B17" s="3" t="inlineStr">
        <is>
          <t>Agenda call + voci P3 da quotare con FuturItaly + assumptions + gap</t>
        </is>
      </c>
    </row>
    <row r="18">
      <c r="A18" s="4" t="inlineStr">
        <is>
          <t>07_Variables</t>
        </is>
      </c>
      <c r="B18" s="3" t="inlineStr">
        <is>
          <t>Tariffe, sconti, parametri tutti modificabili — i numeri si aggiornano automaticamente</t>
        </is>
      </c>
    </row>
    <row r="19">
      <c r="A19" s="2" t="inlineStr"/>
      <c r="B19" s="3" t="inlineStr"/>
    </row>
    <row r="20">
      <c r="A20" s="5" t="inlineStr">
        <is>
          <t>LEGENDA COLORI</t>
        </is>
      </c>
      <c r="B20" s="3" t="inlineStr"/>
    </row>
    <row r="21">
      <c r="A21" s="4" t="inlineStr">
        <is>
          <t>Blu (testo)</t>
        </is>
      </c>
      <c r="B21" s="3" t="inlineStr">
        <is>
          <t>Input hardcoded — numeri che puoi cambiare per fare scenari</t>
        </is>
      </c>
    </row>
    <row r="22">
      <c r="A22" s="4" t="inlineStr">
        <is>
          <t>Nero (testo)</t>
        </is>
      </c>
      <c r="B22" s="3" t="inlineStr">
        <is>
          <t>Formule e calcoli automatici — NON modificare manualmente</t>
        </is>
      </c>
    </row>
    <row r="23">
      <c r="A23" s="4" t="inlineStr">
        <is>
          <t>Verde (testo)</t>
        </is>
      </c>
      <c r="B23" s="3" t="inlineStr">
        <is>
          <t>Link da altro foglio nello stesso workbook</t>
        </is>
      </c>
    </row>
    <row r="24">
      <c r="A24" s="4" t="inlineStr">
        <is>
          <t>Sfondo giallo</t>
        </is>
      </c>
      <c r="B24" s="3" t="inlineStr">
        <is>
          <t>Assumption critica da rivedere/confermare</t>
        </is>
      </c>
    </row>
    <row r="25">
      <c r="A25" s="4" t="inlineStr">
        <is>
          <t>Sfondo teal scuro</t>
        </is>
      </c>
      <c r="B25" s="3" t="inlineStr">
        <is>
          <t>Header tabella</t>
        </is>
      </c>
    </row>
    <row r="26">
      <c r="A26" s="4" t="inlineStr">
        <is>
          <t>Sfondo grigio chiaro</t>
        </is>
      </c>
      <c r="B26" s="3" t="inlineStr">
        <is>
          <t>Sotto-header / sezione interna</t>
        </is>
      </c>
    </row>
    <row r="27">
      <c r="A27" s="2" t="inlineStr"/>
      <c r="B27" s="3" t="inlineStr"/>
    </row>
    <row r="28">
      <c r="A28" s="5" t="inlineStr">
        <is>
          <t>VARIABILI MASTER</t>
        </is>
      </c>
      <c r="B28" s="3" t="inlineStr"/>
    </row>
    <row r="29">
      <c r="A29" s="4" t="inlineStr">
        <is>
          <t>Tariffa HeyAI</t>
        </is>
      </c>
      <c r="B29" s="3" t="inlineStr">
        <is>
          <t>€750/giorno (vedi 07_Variables)</t>
        </is>
      </c>
    </row>
    <row r="30">
      <c r="A30" s="4" t="inlineStr">
        <is>
          <t>Tariffa FuturItaly base + markup +15%</t>
        </is>
      </c>
      <c r="B30" s="3" t="inlineStr">
        <is>
          <t>€800/giorno × 1.15 = €920/giorno cliente</t>
        </is>
      </c>
    </row>
    <row r="31">
      <c r="A31" s="4" t="inlineStr">
        <is>
          <t>Sconto bundle Fase 1+2</t>
        </is>
      </c>
      <c r="B31" s="3" t="inlineStr">
        <is>
          <t>−5% sulla Fase 2</t>
        </is>
      </c>
    </row>
    <row r="32">
      <c r="A32" s="4" t="inlineStr">
        <is>
          <t>Sconto bundle 1+2+3 completo</t>
        </is>
      </c>
      <c r="B32" s="3" t="inlineStr">
        <is>
          <t>−5% F2 + −10% F3</t>
        </is>
      </c>
    </row>
    <row r="33">
      <c r="A33" s="4" t="inlineStr">
        <is>
          <t>Sconto volume add-on</t>
        </is>
      </c>
      <c r="B33" s="3" t="inlineStr">
        <is>
          <t>−5% (3 add-on) · −10% (4+) · −15% (tutti)</t>
        </is>
      </c>
    </row>
    <row r="34">
      <c r="A34" s="4" t="inlineStr">
        <is>
          <t>Sconto lock-in continuativi</t>
        </is>
      </c>
      <c r="B34" s="3" t="inlineStr">
        <is>
          <t>−5% (12 mesi) · −10% (24 mesi)</t>
        </is>
      </c>
    </row>
    <row r="35">
      <c r="A35" s="2" t="inlineStr"/>
      <c r="B35" s="3" t="inlineStr"/>
    </row>
    <row r="36">
      <c r="A36" s="5" t="inlineStr">
        <is>
          <t>USO TIPICO</t>
        </is>
      </c>
      <c r="B36" s="3" t="inlineStr"/>
    </row>
    <row r="37">
      <c r="A37" s="4" t="inlineStr">
        <is>
          <t>1. Riflessione pricing</t>
        </is>
      </c>
      <c r="B37" s="3" t="inlineStr">
        <is>
          <t>Apri 02_Pricing_Detail · cambia tariffe/effort in 07_Variables · controlla impatto</t>
        </is>
      </c>
    </row>
    <row r="38">
      <c r="A38" s="4" t="inlineStr">
        <is>
          <t>2. Conversazione con Michele (delivery)</t>
        </is>
      </c>
      <c r="B38" s="3" t="inlineStr">
        <is>
          <t>Verifica effort g/u in 02_Pricing_Detail · valida con realtà delivery</t>
        </is>
      </c>
    </row>
    <row r="39">
      <c r="A39" s="4" t="inlineStr">
        <is>
          <t>3. Call Elena (economics congiunti)</t>
        </is>
      </c>
      <c r="B39" s="3" t="inlineStr">
        <is>
          <t>Apri 06_Call_Elena_FuturItaly · usa come agenda + traccia decisioni</t>
        </is>
      </c>
    </row>
    <row r="40">
      <c r="A40" s="4" t="inlineStr">
        <is>
          <t>4. Sintesi commerciale verso cliente</t>
        </is>
      </c>
      <c r="B40" s="3" t="inlineStr">
        <is>
          <t>Apri 05_Scenari_Vendita · scegli scenario o costruisci custom</t>
        </is>
      </c>
    </row>
    <row r="41">
      <c r="A41" s="4" t="inlineStr">
        <is>
          <t>5. Negoziazione finale</t>
        </is>
      </c>
      <c r="B41" s="3" t="inlineStr">
        <is>
          <t>Modifica sconti in 04_Bundle_Sconti · gli scenari si ricalcolano</t>
        </is>
      </c>
    </row>
    <row r="42">
      <c r="A42" s="2" t="inlineStr"/>
      <c r="B42" s="3" t="inlineStr"/>
    </row>
    <row r="43">
      <c r="A43" s="4" t="inlineStr">
        <is>
          <t>REGOLE BLOCCANTI (skill investment-proposal-drafting HeyAI)</t>
        </is>
      </c>
      <c r="B43" s="3" t="inlineStr"/>
    </row>
    <row r="44">
      <c r="A44" s="4" t="inlineStr">
        <is>
          <t>Costo fornitore ≤ 60% del prezzo cliente</t>
        </is>
      </c>
      <c r="B44" s="3" t="inlineStr">
        <is>
          <t>Limite assoluto · target sano 40-45%</t>
        </is>
      </c>
    </row>
    <row r="45">
      <c r="A45" s="4" t="inlineStr">
        <is>
          <t>Markup target ≥ 2.0x (sweet spot 50% margine)</t>
        </is>
      </c>
      <c r="B45" s="3" t="inlineStr">
        <is>
          <t>Mai aggregare voci che permettano ricostruzione monte ore</t>
        </is>
      </c>
    </row>
    <row r="46">
      <c r="A46" s="4" t="inlineStr">
        <is>
          <t>Voci sempre aggregate al cliente</t>
        </is>
      </c>
      <c r="B46" s="3" t="inlineStr">
        <is>
          <t>Mai esposto dettaglio effort × tariffa nel documento consegna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12" customWidth="1" min="4" max="4"/>
    <col width="14" customWidth="1" min="5" max="5"/>
    <col width="22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28" customHeight="1">
      <c r="A1" s="1" t="inlineStr">
        <is>
          <t>Catalogo Master — Tutti i servizi classificati su 8 variabili</t>
        </is>
      </c>
    </row>
    <row r="2">
      <c r="A2" s="6" t="inlineStr">
        <is>
          <t>Legenda V1-V8 in cima · ordinato per priorità · linka voci a 02_Pricing_Detail</t>
        </is>
      </c>
    </row>
    <row r="3" ht="32" customHeight="1">
      <c r="A3" s="7" t="inlineStr">
        <is>
          <t>Codice</t>
        </is>
      </c>
      <c r="B3" s="7" t="inlineStr">
        <is>
          <t>Servizio</t>
        </is>
      </c>
      <c r="C3" s="7" t="inlineStr">
        <is>
          <t>Sottovoci / Cosa include</t>
        </is>
      </c>
      <c r="D3" s="7" t="inlineStr">
        <is>
          <t>V1 Owner</t>
        </is>
      </c>
      <c r="E3" s="7" t="inlineStr">
        <is>
          <t>V2 Natura</t>
        </is>
      </c>
      <c r="F3" s="7" t="inlineStr">
        <is>
          <t>V3 Brief</t>
        </is>
      </c>
      <c r="G3" s="7" t="inlineStr">
        <is>
          <t>V4 Priorità</t>
        </is>
      </c>
      <c r="H3" s="7" t="inlineStr">
        <is>
          <t>V5 Tipo</t>
        </is>
      </c>
      <c r="I3" s="7" t="inlineStr">
        <is>
          <t>V6 Fase</t>
        </is>
      </c>
      <c r="J3" s="7" t="inlineStr">
        <is>
          <t>Pacchetto</t>
        </is>
      </c>
    </row>
    <row r="4">
      <c r="A4" s="8" t="inlineStr">
        <is>
          <t>P1.0</t>
        </is>
      </c>
      <c r="B4" s="9" t="inlineStr">
        <is>
          <t>Riallineamento sito attuale (Fase 1)</t>
        </is>
      </c>
      <c r="C4" s="9" t="inlineStr">
        <is>
          <t>Refresh visivo · cambio copy minimo · cambio foto · 1-2 sezioni nuove · supporto pre-Festival Trento</t>
        </is>
      </c>
      <c r="D4" s="9" t="inlineStr">
        <is>
          <t>HeyAI</t>
        </is>
      </c>
      <c r="E4" s="9" t="inlineStr">
        <is>
          <t>Core</t>
        </is>
      </c>
      <c r="F4" s="9" t="inlineStr">
        <is>
          <t>Dentro brief</t>
        </is>
      </c>
      <c r="G4" s="9" t="inlineStr">
        <is>
          <t>Alta</t>
        </is>
      </c>
      <c r="H4" s="9" t="inlineStr">
        <is>
          <t>Progetto</t>
        </is>
      </c>
      <c r="I4" s="9" t="inlineStr">
        <is>
          <t>F1 Giu 2026</t>
        </is>
      </c>
      <c r="J4" s="10" t="inlineStr">
        <is>
          <t>P1 SITO</t>
        </is>
      </c>
    </row>
    <row r="5">
      <c r="A5" s="11" t="inlineStr">
        <is>
          <t>P1.1</t>
        </is>
      </c>
      <c r="B5" s="12" t="inlineStr">
        <is>
          <t>Sito nuovo pubblico (Fase 2)</t>
        </is>
      </c>
      <c r="C5" s="12" t="inlineStr">
        <is>
          <t>17 route · 5 percorsi (Talent · Researcher · HR&amp;B · Imprese · Media) · MBA Gateway · Engaged Research preview · Founder Stories · Blog 3 stream · Eventi · Press · Chi Siamo · Contatti · Form base raccolta richieste · CMS · bilinguismo IT/EN · GDPR · hosting · QA · handover · PM 1g/sett</t>
        </is>
      </c>
      <c r="D5" s="12" t="inlineStr">
        <is>
          <t>HeyAI</t>
        </is>
      </c>
      <c r="E5" s="12" t="inlineStr">
        <is>
          <t>Core</t>
        </is>
      </c>
      <c r="F5" s="12" t="inlineStr">
        <is>
          <t>Extra-nostro</t>
        </is>
      </c>
      <c r="G5" s="12" t="inlineStr">
        <is>
          <t>Alta</t>
        </is>
      </c>
      <c r="H5" s="12" t="inlineStr">
        <is>
          <t>Progetto</t>
        </is>
      </c>
      <c r="I5" s="12" t="inlineStr">
        <is>
          <t>F2 Lug-Dic 2026</t>
        </is>
      </c>
      <c r="J5" s="10" t="inlineStr">
        <is>
          <t>P1 SITO</t>
        </is>
      </c>
    </row>
    <row r="6">
      <c r="A6" s="8" t="inlineStr">
        <is>
          <t>P1.A</t>
        </is>
      </c>
      <c r="B6" s="9" t="inlineStr">
        <is>
          <t>Studio strategico Customer Journey + analisi mercato</t>
        </is>
      </c>
      <c r="C6" s="9" t="inlineStr">
        <is>
          <t>Analisi 5 personas approfondita · journey mapping per persona · analisi mercato a supporto · documento strategico · prerequisito raccomandato P1.1</t>
        </is>
      </c>
      <c r="D6" s="9" t="inlineStr">
        <is>
          <t>HeyAI</t>
        </is>
      </c>
      <c r="E6" s="9" t="inlineStr">
        <is>
          <t>Core</t>
        </is>
      </c>
      <c r="F6" s="9" t="inlineStr">
        <is>
          <t>Extra-nostro</t>
        </is>
      </c>
      <c r="G6" s="9" t="inlineStr">
        <is>
          <t>Alta</t>
        </is>
      </c>
      <c r="H6" s="9" t="inlineStr">
        <is>
          <t>Progetto</t>
        </is>
      </c>
      <c r="I6" s="9" t="inlineStr">
        <is>
          <t>Pre-F2</t>
        </is>
      </c>
      <c r="J6" s="10" t="inlineStr">
        <is>
          <t>P1 SITO</t>
        </is>
      </c>
    </row>
    <row r="7">
      <c r="A7" s="11" t="inlineStr">
        <is>
          <t>P1.B</t>
        </is>
      </c>
      <c r="B7" s="12" t="inlineStr">
        <is>
          <t>4 MVP Intelligenza Artificiale verticali</t>
        </is>
      </c>
      <c r="C7" s="12" t="inlineStr">
        <is>
          <t>Tutor (contenuti Academy) · Reading Room (paper Engaged Research) · Career Path Navigator (percorso 5 personas) · Research Engine MVP (ricerca semantica) · LLM API + prompt eng + UI conversazionale + guardrail</t>
        </is>
      </c>
      <c r="D7" s="12" t="inlineStr">
        <is>
          <t>HeyAI</t>
        </is>
      </c>
      <c r="E7" s="12" t="inlineStr">
        <is>
          <t>Core</t>
        </is>
      </c>
      <c r="F7" s="12" t="inlineStr">
        <is>
          <t>Extra-nostro</t>
        </is>
      </c>
      <c r="G7" s="12" t="inlineStr">
        <is>
          <t>Alta</t>
        </is>
      </c>
      <c r="H7" s="12" t="inlineStr">
        <is>
          <t>Progetto</t>
        </is>
      </c>
      <c r="I7" s="12" t="inlineStr">
        <is>
          <t>F2</t>
        </is>
      </c>
      <c r="J7" s="10" t="inlineStr">
        <is>
          <t>P1 SITO</t>
        </is>
      </c>
    </row>
    <row r="8">
      <c r="A8" s="8" t="inlineStr">
        <is>
          <t>P1.C.1</t>
        </is>
      </c>
      <c r="B8" s="9" t="inlineStr">
        <is>
          <t>Area Riservata Semplice</t>
        </is>
      </c>
      <c r="C8" s="9" t="inlineStr">
        <is>
          <t>Login dipendenti Gruppo · area unica senza differenziazione tenant · sezioni statiche · MVP minimo</t>
        </is>
      </c>
      <c r="D8" s="9" t="inlineStr">
        <is>
          <t>HeyAI</t>
        </is>
      </c>
      <c r="E8" s="9" t="inlineStr">
        <is>
          <t>Core</t>
        </is>
      </c>
      <c r="F8" s="9" t="inlineStr">
        <is>
          <t>Extra-nostro</t>
        </is>
      </c>
      <c r="G8" s="9" t="inlineStr">
        <is>
          <t>Media</t>
        </is>
      </c>
      <c r="H8" s="9" t="inlineStr">
        <is>
          <t>Progetto</t>
        </is>
      </c>
      <c r="I8" s="9" t="inlineStr">
        <is>
          <t>F2</t>
        </is>
      </c>
      <c r="J8" s="10" t="inlineStr">
        <is>
          <t>P1 SITO</t>
        </is>
      </c>
    </row>
    <row r="9">
      <c r="A9" s="11" t="inlineStr">
        <is>
          <t>P1.C.2</t>
        </is>
      </c>
      <c r="B9" s="12" t="inlineStr">
        <is>
          <t>Area Riservata Avanzata (upgrade da C.1)</t>
        </is>
      </c>
      <c r="C9" s="12" t="inlineStr">
        <is>
          <t>Login singolo utente · Personal Learning Record (track record corsi · progressi · suggerimenti per dipendente) · sub-aree dedicate (5 aree)</t>
        </is>
      </c>
      <c r="D9" s="12" t="inlineStr">
        <is>
          <t>HeyAI</t>
        </is>
      </c>
      <c r="E9" s="12" t="inlineStr">
        <is>
          <t>Core</t>
        </is>
      </c>
      <c r="F9" s="12" t="inlineStr">
        <is>
          <t>Extra-nostro</t>
        </is>
      </c>
      <c r="G9" s="12" t="inlineStr">
        <is>
          <t>Media</t>
        </is>
      </c>
      <c r="H9" s="12" t="inlineStr">
        <is>
          <t>Progetto</t>
        </is>
      </c>
      <c r="I9" s="12" t="inlineStr">
        <is>
          <t>F2</t>
        </is>
      </c>
      <c r="J9" s="10" t="inlineStr">
        <is>
          <t>P1 SITO</t>
        </is>
      </c>
    </row>
    <row r="10">
      <c r="A10" s="8" t="inlineStr">
        <is>
          <t>P1.D</t>
        </is>
      </c>
      <c r="B10" s="9" t="inlineStr">
        <is>
          <t>Community Engaged Network</t>
        </is>
      </c>
      <c r="C10" s="9" t="inlineStr">
        <is>
          <t>3 feature MVP: Paper Discussion Threads + Position Paper drafting collaborativo + Career Path Tracker · Hub editoriale community-only · riuso auth da C.1/C.2 · NO AI Co-pilot · NO Quiz pedagogico</t>
        </is>
      </c>
      <c r="D10" s="9" t="inlineStr">
        <is>
          <t>Congiunto</t>
        </is>
      </c>
      <c r="E10" s="9" t="inlineStr">
        <is>
          <t>Core</t>
        </is>
      </c>
      <c r="F10" s="9" t="inlineStr">
        <is>
          <t>Extra-nostro</t>
        </is>
      </c>
      <c r="G10" s="9" t="inlineStr">
        <is>
          <t>Alta</t>
        </is>
      </c>
      <c r="H10" s="9" t="inlineStr">
        <is>
          <t>Progetto</t>
        </is>
      </c>
      <c r="I10" s="9" t="inlineStr">
        <is>
          <t>F3 Q1 2027</t>
        </is>
      </c>
      <c r="J10" s="10" t="inlineStr">
        <is>
          <t>P1 SITO</t>
        </is>
      </c>
    </row>
    <row r="11">
      <c r="A11" s="11" t="inlineStr">
        <is>
          <t>P1.E</t>
        </is>
      </c>
      <c r="B11" s="12" t="inlineStr">
        <is>
          <t>Analytics native + Dashboard team interno</t>
        </is>
      </c>
      <c r="C11" s="12" t="inlineStr">
        <is>
          <t>Dashboard custom su dati nativi sito · metriche audience · conversione per persona · NO integrazioni esterne</t>
        </is>
      </c>
      <c r="D11" s="12" t="inlineStr">
        <is>
          <t>HeyAI</t>
        </is>
      </c>
      <c r="E11" s="12" t="inlineStr">
        <is>
          <t>Core</t>
        </is>
      </c>
      <c r="F11" s="12" t="inlineStr">
        <is>
          <t>Extra-nostro</t>
        </is>
      </c>
      <c r="G11" s="12" t="inlineStr">
        <is>
          <t>Media</t>
        </is>
      </c>
      <c r="H11" s="12" t="inlineStr">
        <is>
          <t>Progetto</t>
        </is>
      </c>
      <c r="I11" s="12" t="inlineStr">
        <is>
          <t>F2</t>
        </is>
      </c>
      <c r="J11" s="10" t="inlineStr">
        <is>
          <t>P1 SITO</t>
        </is>
      </c>
    </row>
    <row r="12">
      <c r="A12" s="8" t="inlineStr">
        <is>
          <t>P1.F</t>
        </is>
      </c>
      <c r="B12" s="9" t="inlineStr">
        <is>
          <t>Landing eventi pubblici</t>
        </is>
      </c>
      <c r="C12" s="9" t="inlineStr">
        <is>
          <t>Per evento: design landing dedicata · form registrazione · esperienza interattiva · lead capture · attivabile anche prima del sito nuovo</t>
        </is>
      </c>
      <c r="D12" s="9" t="inlineStr">
        <is>
          <t>HeyAI</t>
        </is>
      </c>
      <c r="E12" s="9" t="inlineStr">
        <is>
          <t>Core</t>
        </is>
      </c>
      <c r="F12" s="9" t="inlineStr">
        <is>
          <t>Extra-nostro</t>
        </is>
      </c>
      <c r="G12" s="9" t="inlineStr">
        <is>
          <t>Media</t>
        </is>
      </c>
      <c r="H12" s="9" t="inlineStr">
        <is>
          <t>On-demand</t>
        </is>
      </c>
      <c r="I12" s="9" t="inlineStr">
        <is>
          <t>OD</t>
        </is>
      </c>
      <c r="J12" s="10" t="inlineStr">
        <is>
          <t>P1 SITO</t>
        </is>
      </c>
    </row>
    <row r="13">
      <c r="A13" s="11" t="inlineStr">
        <is>
          <t>P1.G</t>
        </is>
      </c>
      <c r="B13" s="12" t="inlineStr">
        <is>
          <t>Landing eventi interni</t>
        </is>
      </c>
      <c r="C13" s="12" t="inlineStr">
        <is>
          <t>Per evento: stessa logica di F ma con login richiesto · richiede P1.C.1 o P1.C.2 attivata</t>
        </is>
      </c>
      <c r="D13" s="12" t="inlineStr">
        <is>
          <t>HeyAI</t>
        </is>
      </c>
      <c r="E13" s="12" t="inlineStr">
        <is>
          <t>Core</t>
        </is>
      </c>
      <c r="F13" s="12" t="inlineStr">
        <is>
          <t>Extra-nostro</t>
        </is>
      </c>
      <c r="G13" s="12" t="inlineStr">
        <is>
          <t>Media</t>
        </is>
      </c>
      <c r="H13" s="12" t="inlineStr">
        <is>
          <t>On-demand</t>
        </is>
      </c>
      <c r="I13" s="12" t="inlineStr">
        <is>
          <t>OD</t>
        </is>
      </c>
      <c r="J13" s="10" t="inlineStr">
        <is>
          <t>P1 SITO</t>
        </is>
      </c>
    </row>
    <row r="14">
      <c r="A14" s="8" t="inlineStr">
        <is>
          <t>P1.H</t>
        </is>
      </c>
      <c r="B14" s="9" t="inlineStr">
        <is>
          <t>SEO avanzata + topic authority</t>
        </is>
      </c>
      <c r="C14" s="9" t="inlineStr">
        <is>
          <t>15 keyword priority mappate · long-tail dominance pedagogia/edTech · schema markup avanzato · content brief per autori · monitoring 3 mesi opzionale</t>
        </is>
      </c>
      <c r="D14" s="9" t="inlineStr">
        <is>
          <t>HeyAI</t>
        </is>
      </c>
      <c r="E14" s="9" t="inlineStr">
        <is>
          <t>Complementare</t>
        </is>
      </c>
      <c r="F14" s="9" t="inlineStr">
        <is>
          <t>Extra-nostro</t>
        </is>
      </c>
      <c r="G14" s="9" t="inlineStr">
        <is>
          <t>Media</t>
        </is>
      </c>
      <c r="H14" s="9" t="inlineStr">
        <is>
          <t>Progetto</t>
        </is>
      </c>
      <c r="I14" s="9" t="inlineStr">
        <is>
          <t>Add-on</t>
        </is>
      </c>
      <c r="J14" s="10" t="inlineStr">
        <is>
          <t>P1 SITO</t>
        </is>
      </c>
    </row>
    <row r="15">
      <c r="A15" s="11" t="inlineStr">
        <is>
          <t>P1.I</t>
        </is>
      </c>
      <c r="B15" s="12" t="inlineStr">
        <is>
          <t>Accessibility WCAG 2.1 AA + EAA compliance</t>
        </is>
      </c>
      <c r="C15" s="12" t="inlineStr">
        <is>
          <t>Audit completo · alt tags · ARIA · keyboard nav · contrast checks · screen reader testing · fix · vincolante UE dal 28/06/2025</t>
        </is>
      </c>
      <c r="D15" s="12" t="inlineStr">
        <is>
          <t>HeyAI</t>
        </is>
      </c>
      <c r="E15" s="12" t="inlineStr">
        <is>
          <t>Complementare</t>
        </is>
      </c>
      <c r="F15" s="12" t="inlineStr">
        <is>
          <t>Extra-nostro</t>
        </is>
      </c>
      <c r="G15" s="12" t="inlineStr">
        <is>
          <t>Media</t>
        </is>
      </c>
      <c r="H15" s="12" t="inlineStr">
        <is>
          <t>Progetto</t>
        </is>
      </c>
      <c r="I15" s="12" t="inlineStr">
        <is>
          <t>Add-on</t>
        </is>
      </c>
      <c r="J15" s="10" t="inlineStr">
        <is>
          <t>P1 SITO</t>
        </is>
      </c>
    </row>
    <row r="16">
      <c r="A16" s="8" t="inlineStr">
        <is>
          <t>P1.J</t>
        </is>
      </c>
      <c r="B16" s="9" t="inlineStr">
        <is>
          <t>Analytics setup base (GA4 + Plausible)</t>
        </is>
      </c>
      <c r="C16" s="9" t="inlineStr">
        <is>
          <t>Setup GA4 + Plausible · eventi conversion · funnel tracking · dashboard segmentato per persona</t>
        </is>
      </c>
      <c r="D16" s="9" t="inlineStr">
        <is>
          <t>HeyAI</t>
        </is>
      </c>
      <c r="E16" s="9" t="inlineStr">
        <is>
          <t>Complementare</t>
        </is>
      </c>
      <c r="F16" s="9" t="inlineStr">
        <is>
          <t>Extra-nostro</t>
        </is>
      </c>
      <c r="G16" s="9" t="inlineStr">
        <is>
          <t>Bassa</t>
        </is>
      </c>
      <c r="H16" s="9" t="inlineStr">
        <is>
          <t>Progetto</t>
        </is>
      </c>
      <c r="I16" s="9" t="inlineStr">
        <is>
          <t>Add-on</t>
        </is>
      </c>
      <c r="J16" s="10" t="inlineStr">
        <is>
          <t>P1 SITO</t>
        </is>
      </c>
    </row>
    <row r="17">
      <c r="A17" s="11" t="inlineStr">
        <is>
          <t>P1.K</t>
        </is>
      </c>
      <c r="B17" s="12" t="inlineStr">
        <is>
          <t>Integrazione tecnica email marketing</t>
        </is>
      </c>
      <c r="C17" s="12" t="inlineStr">
        <is>
          <t>Collegamento form sito → piattaforma email (Mailchimp/Brevo/HubSpot) · DNS records · NO setup campagne</t>
        </is>
      </c>
      <c r="D17" s="12" t="inlineStr">
        <is>
          <t>HeyAI</t>
        </is>
      </c>
      <c r="E17" s="12" t="inlineStr">
        <is>
          <t>Complementare</t>
        </is>
      </c>
      <c r="F17" s="12" t="inlineStr">
        <is>
          <t>Extra-nostro</t>
        </is>
      </c>
      <c r="G17" s="12" t="inlineStr">
        <is>
          <t>Media</t>
        </is>
      </c>
      <c r="H17" s="12" t="inlineStr">
        <is>
          <t>Progetto</t>
        </is>
      </c>
      <c r="I17" s="12" t="inlineStr">
        <is>
          <t>Add-on</t>
        </is>
      </c>
      <c r="J17" s="10" t="inlineStr">
        <is>
          <t>P1 SITO</t>
        </is>
      </c>
    </row>
    <row r="18">
      <c r="A18" s="8" t="inlineStr">
        <is>
          <t>P2.0W</t>
        </is>
      </c>
      <c r="B18" s="9" t="inlineStr">
        <is>
          <t>Workshop iniziale creazione contenuti</t>
        </is>
      </c>
      <c r="C18" s="9" t="inlineStr">
        <is>
          <t>Workshop strategia + ToV applicato · editorial calendar primo trimestre · copywriting completo sito Fase 2 · press kit produzione iniziale (one-pager + boilerplate + bio + brand assets + fact sheet + template) · 2 Founder Stories iniziali</t>
        </is>
      </c>
      <c r="D18" s="9" t="inlineStr">
        <is>
          <t>Congiunto</t>
        </is>
      </c>
      <c r="E18" s="9" t="inlineStr">
        <is>
          <t>Core</t>
        </is>
      </c>
      <c r="F18" s="9" t="inlineStr">
        <is>
          <t>Dentro brief (parzialmente)</t>
        </is>
      </c>
      <c r="G18" s="9" t="inlineStr">
        <is>
          <t>Alta</t>
        </is>
      </c>
      <c r="H18" s="9" t="inlineStr">
        <is>
          <t>Progetto</t>
        </is>
      </c>
      <c r="I18" s="9" t="inlineStr">
        <is>
          <t>Pre-F2</t>
        </is>
      </c>
      <c r="J18" s="13" t="inlineStr">
        <is>
          <t>P2 EDIT&amp;SOCIAL</t>
        </is>
      </c>
    </row>
    <row r="19">
      <c r="A19" s="11" t="inlineStr">
        <is>
          <t>P2.0C</t>
        </is>
      </c>
      <c r="B19" s="12" t="inlineStr">
        <is>
          <t>Creazione contenuti continuativo mensile</t>
        </is>
      </c>
      <c r="C19" s="12" t="inlineStr">
        <is>
          <t>2-3 articoli blog/mese (3 stream Identità · Ricerca · Programmi) · 1 paper Engaged Research → sezione web · video pillole ricercatori 1-2/trim · storie alumni 1/trim · press kit aggiornamento bimestrale/trim · coordinamento + reportistica · copywriting incluso · PM incluso</t>
        </is>
      </c>
      <c r="D19" s="12" t="inlineStr">
        <is>
          <t>Congiunto</t>
        </is>
      </c>
      <c r="E19" s="12" t="inlineStr">
        <is>
          <t>Complementare</t>
        </is>
      </c>
      <c r="F19" s="12" t="inlineStr">
        <is>
          <t>Extra-nostro (parzialmente)</t>
        </is>
      </c>
      <c r="G19" s="12" t="inlineStr">
        <is>
          <t>Alta</t>
        </is>
      </c>
      <c r="H19" s="12" t="inlineStr">
        <is>
          <t>Continuativo</t>
        </is>
      </c>
      <c r="I19" s="12" t="inlineStr">
        <is>
          <t>Cont post-F2</t>
        </is>
      </c>
      <c r="J19" s="13" t="inlineStr">
        <is>
          <t>P2 EDIT&amp;SOCIAL</t>
        </is>
      </c>
    </row>
    <row r="20">
      <c r="A20" s="8" t="inlineStr">
        <is>
          <t>P2.1</t>
        </is>
      </c>
      <c r="B20" s="9" t="inlineStr">
        <is>
          <t>PM &amp; Operations</t>
        </is>
      </c>
      <c r="C20" s="9" t="inlineStr">
        <is>
          <t>INCLUSO DI DEFAULT in P2.0C · ~15h/mese coordinamento + reportistica + review · ore extra on-demand su richiesta</t>
        </is>
      </c>
      <c r="D20" s="9" t="inlineStr">
        <is>
          <t>HeyAI</t>
        </is>
      </c>
      <c r="E20" s="9" t="inlineStr">
        <is>
          <t>Complementare</t>
        </is>
      </c>
      <c r="F20" s="9" t="inlineStr">
        <is>
          <t>Dentro brief</t>
        </is>
      </c>
      <c r="G20" s="9" t="inlineStr">
        <is>
          <t>Alta</t>
        </is>
      </c>
      <c r="H20" s="9" t="inlineStr">
        <is>
          <t>Continuativo</t>
        </is>
      </c>
      <c r="I20" s="9" t="inlineStr">
        <is>
          <t>Cont</t>
        </is>
      </c>
      <c r="J20" s="13" t="inlineStr">
        <is>
          <t>P2 EDIT&amp;SOCIAL</t>
        </is>
      </c>
    </row>
    <row r="21">
      <c r="A21" s="11" t="inlineStr">
        <is>
          <t>P2.A</t>
        </is>
      </c>
      <c r="B21" s="12" t="inlineStr">
        <is>
          <t>Gestione LinkedIn Academy integrata</t>
        </is>
      </c>
      <c r="C21" s="12" t="inlineStr">
        <is>
          <t>LinkedIn organic (4-8 post/mese) · LinkedIn paid setup + ottimizzazione · piano editoriale · creazione visual social card · reporting mensile · NO community management · NO LinkedIn personale Morbidelli (in versione 'gestione LinkedIn Academy' generica) · budget media a carico cliente</t>
        </is>
      </c>
      <c r="D21" s="12" t="inlineStr">
        <is>
          <t>HeyAI</t>
        </is>
      </c>
      <c r="E21" s="12" t="inlineStr">
        <is>
          <t>Satellite</t>
        </is>
      </c>
      <c r="F21" s="12" t="inlineStr">
        <is>
          <t>Dentro brief</t>
        </is>
      </c>
      <c r="G21" s="12" t="inlineStr">
        <is>
          <t>Alta</t>
        </is>
      </c>
      <c r="H21" s="12" t="inlineStr">
        <is>
          <t>Continuativo</t>
        </is>
      </c>
      <c r="I21" s="12" t="inlineStr">
        <is>
          <t>Cont post-F2</t>
        </is>
      </c>
      <c r="J21" s="13" t="inlineStr">
        <is>
          <t>P2 EDIT&amp;SOCIAL</t>
        </is>
      </c>
    </row>
    <row r="22">
      <c r="A22" s="8" t="inlineStr">
        <is>
          <t>P2.BS</t>
        </is>
      </c>
      <c r="B22" s="9" t="inlineStr">
        <is>
          <t>Email marketing — Setup</t>
        </is>
      </c>
      <c r="C22" s="9" t="inlineStr">
        <is>
          <t>Setup piattaforma (Mailchimp/Brevo/HubSpot) · 5 segmentazioni personas · template email (newsletter + welcome drip) · 1-2 automation iniziali · documentazione + training cliente</t>
        </is>
      </c>
      <c r="D22" s="9" t="inlineStr">
        <is>
          <t>HeyAI</t>
        </is>
      </c>
      <c r="E22" s="9" t="inlineStr">
        <is>
          <t>Satellite</t>
        </is>
      </c>
      <c r="F22" s="9" t="inlineStr">
        <is>
          <t>Extra-nostro</t>
        </is>
      </c>
      <c r="G22" s="9" t="inlineStr">
        <is>
          <t>Media</t>
        </is>
      </c>
      <c r="H22" s="9" t="inlineStr">
        <is>
          <t>Progetto</t>
        </is>
      </c>
      <c r="I22" s="9" t="inlineStr">
        <is>
          <t>Add-on</t>
        </is>
      </c>
      <c r="J22" s="13" t="inlineStr">
        <is>
          <t>P2 EDIT&amp;SOCIAL</t>
        </is>
      </c>
    </row>
    <row r="23">
      <c r="A23" s="11" t="inlineStr">
        <is>
          <t>P2.BC</t>
        </is>
      </c>
      <c r="B23" s="12" t="inlineStr">
        <is>
          <t>Email marketing — Continuativo</t>
        </is>
      </c>
      <c r="C23" s="12" t="inlineStr">
        <is>
          <t>Campagne segmentate per persona · drip · ottimizzazione · reporting · 5 segmentazioni · email transazionali su richiesta</t>
        </is>
      </c>
      <c r="D23" s="12" t="inlineStr">
        <is>
          <t>HeyAI</t>
        </is>
      </c>
      <c r="E23" s="12" t="inlineStr">
        <is>
          <t>Satellite</t>
        </is>
      </c>
      <c r="F23" s="12" t="inlineStr">
        <is>
          <t>Extra-nostro</t>
        </is>
      </c>
      <c r="G23" s="12" t="inlineStr">
        <is>
          <t>Media</t>
        </is>
      </c>
      <c r="H23" s="12" t="inlineStr">
        <is>
          <t>Continuativo</t>
        </is>
      </c>
      <c r="I23" s="12" t="inlineStr">
        <is>
          <t>Cont post-F2</t>
        </is>
      </c>
      <c r="J23" s="13" t="inlineStr">
        <is>
          <t>P2 EDIT&amp;SOCIAL</t>
        </is>
      </c>
    </row>
    <row r="24">
      <c r="A24" s="8" t="inlineStr">
        <is>
          <t>P2.C1</t>
        </is>
      </c>
      <c r="B24" s="9" t="inlineStr">
        <is>
          <t>Integrazione CRM (su richiesta)</t>
        </is>
      </c>
      <c r="C24" s="9" t="inlineStr">
        <is>
          <t>Integrazione tecnica form sito → CRM cliente (HubSpot/Salesforce/altro) · lead scoring · routing automatico verso commerciale</t>
        </is>
      </c>
      <c r="D24" s="9" t="inlineStr">
        <is>
          <t>HeyAI</t>
        </is>
      </c>
      <c r="E24" s="9" t="inlineStr">
        <is>
          <t>Satellite</t>
        </is>
      </c>
      <c r="F24" s="9" t="inlineStr">
        <is>
          <t>Extra-nostro</t>
        </is>
      </c>
      <c r="G24" s="9" t="inlineStr">
        <is>
          <t>Bassa</t>
        </is>
      </c>
      <c r="H24" s="9" t="inlineStr">
        <is>
          <t>On-demand</t>
        </is>
      </c>
      <c r="I24" s="9" t="inlineStr">
        <is>
          <t>OD</t>
        </is>
      </c>
      <c r="J24" s="13" t="inlineStr">
        <is>
          <t>P2 EDIT&amp;SOCIAL</t>
        </is>
      </c>
    </row>
    <row r="25">
      <c r="A25" s="11" t="inlineStr">
        <is>
          <t>P2.C2</t>
        </is>
      </c>
      <c r="B25" s="12" t="inlineStr">
        <is>
          <t>Gateway pagamento corsi (su richiesta)</t>
        </is>
      </c>
      <c r="C25" s="12" t="inlineStr">
        <is>
          <t>Integrazione gateway (Stripe/PayPal) per acquisto online programmi formativi a pagamento · checkout · ricevute</t>
        </is>
      </c>
      <c r="D25" s="12" t="inlineStr">
        <is>
          <t>HeyAI</t>
        </is>
      </c>
      <c r="E25" s="12" t="inlineStr">
        <is>
          <t>Satellite</t>
        </is>
      </c>
      <c r="F25" s="12" t="inlineStr">
        <is>
          <t>Extra-nostro</t>
        </is>
      </c>
      <c r="G25" s="12" t="inlineStr">
        <is>
          <t>Bassa</t>
        </is>
      </c>
      <c r="H25" s="12" t="inlineStr">
        <is>
          <t>On-demand</t>
        </is>
      </c>
      <c r="I25" s="12" t="inlineStr">
        <is>
          <t>OD</t>
        </is>
      </c>
      <c r="J25" s="13" t="inlineStr">
        <is>
          <t>P2 EDIT&amp;SOCIAL</t>
        </is>
      </c>
    </row>
    <row r="26">
      <c r="A26" s="8" t="inlineStr">
        <is>
          <t>P3.A</t>
        </is>
      </c>
      <c r="B26" s="9" t="inlineStr">
        <is>
          <t>Sviluppo contatti accademici prima ondata</t>
        </is>
      </c>
      <c r="C26" s="9" t="inlineStr">
        <is>
          <t>9 atenei IT/EU/UK (Padova · Bologna · KU Leuven · RWTH Aachen · Leibniz · TUM · Cambridge DEFI · UCL Knowledge Lab · Open University IET) · outreach · prima call · valutazione partnership · 6-12 mesi delivery</t>
        </is>
      </c>
      <c r="D26" s="9" t="inlineStr">
        <is>
          <t>FuturItaly</t>
        </is>
      </c>
      <c r="E26" s="9" t="inlineStr">
        <is>
          <t>Satellite</t>
        </is>
      </c>
      <c r="F26" s="9" t="inlineStr">
        <is>
          <t>Extra-nostro</t>
        </is>
      </c>
      <c r="G26" s="9" t="inlineStr">
        <is>
          <t>Alta</t>
        </is>
      </c>
      <c r="H26" s="9" t="inlineStr">
        <is>
          <t>On-demand</t>
        </is>
      </c>
      <c r="I26" s="9" t="inlineStr">
        <is>
          <t>Cont post-F2</t>
        </is>
      </c>
      <c r="J26" s="14" t="inlineStr">
        <is>
          <t>P3 FUTURITALY</t>
        </is>
      </c>
    </row>
    <row r="27">
      <c r="A27" s="11" t="inlineStr">
        <is>
          <t>P3.B</t>
        </is>
      </c>
      <c r="B27" s="12" t="inlineStr">
        <is>
          <t>Sviluppo contatti accademici seconda ondata</t>
        </is>
      </c>
      <c r="C27" s="12" t="inlineStr">
        <is>
          <t>4 atenei USA/CN (Carnegie Mellon HCII · Georgia Tech · Beijing Normal SLI · Tsinghua THUSE)</t>
        </is>
      </c>
      <c r="D27" s="12" t="inlineStr">
        <is>
          <t>FuturItaly</t>
        </is>
      </c>
      <c r="E27" s="12" t="inlineStr">
        <is>
          <t>Satellite</t>
        </is>
      </c>
      <c r="F27" s="12" t="inlineStr">
        <is>
          <t>Extra-nostro</t>
        </is>
      </c>
      <c r="G27" s="12" t="inlineStr">
        <is>
          <t>Media</t>
        </is>
      </c>
      <c r="H27" s="12" t="inlineStr">
        <is>
          <t>On-demand</t>
        </is>
      </c>
      <c r="I27" s="12" t="inlineStr">
        <is>
          <t>Post 12 mesi</t>
        </is>
      </c>
      <c r="J27" s="14" t="inlineStr">
        <is>
          <t>P3 FUTURITALY</t>
        </is>
      </c>
    </row>
    <row r="28">
      <c r="A28" s="8" t="inlineStr">
        <is>
          <t>P3.C</t>
        </is>
      </c>
      <c r="B28" s="9" t="inlineStr">
        <is>
          <t>Pre-screening + accompagnamento bandi UE</t>
        </is>
      </c>
      <c r="C28" s="9" t="inlineStr">
        <is>
          <t>5 bandi UE mappati (Horizon MSCA-Cofund · Doctoral Networks · RIA lump sum · Citizens · Erasmus+) · supporto stesura candidatura · monitoring · fino al 100% fondo perduto</t>
        </is>
      </c>
      <c r="D28" s="9" t="inlineStr">
        <is>
          <t>FuturItaly</t>
        </is>
      </c>
      <c r="E28" s="9" t="inlineStr">
        <is>
          <t>Satellite</t>
        </is>
      </c>
      <c r="F28" s="9" t="inlineStr">
        <is>
          <t>Extra-nostro</t>
        </is>
      </c>
      <c r="G28" s="9" t="inlineStr">
        <is>
          <t>Alta</t>
        </is>
      </c>
      <c r="H28" s="9" t="inlineStr">
        <is>
          <t>On-demand</t>
        </is>
      </c>
      <c r="I28" s="9" t="inlineStr">
        <is>
          <t>Per bando</t>
        </is>
      </c>
      <c r="J28" s="14" t="inlineStr">
        <is>
          <t>P3 FUTURITALY</t>
        </is>
      </c>
    </row>
    <row r="29">
      <c r="A29" s="11" t="inlineStr">
        <is>
          <t>P4.A</t>
        </is>
      </c>
      <c r="B29" s="12" t="inlineStr">
        <is>
          <t>Concept creativo video promo Academy</t>
        </is>
      </c>
      <c r="C29" s="12" t="inlineStr">
        <is>
          <t>Regia + storyboard · esecuzione esterna affidata a fornitore dedicato · opzionale (cliente probabilmente ha fornitore)</t>
        </is>
      </c>
      <c r="D29" s="12" t="inlineStr">
        <is>
          <t>HeyAI</t>
        </is>
      </c>
      <c r="E29" s="12" t="inlineStr">
        <is>
          <t>Satellite</t>
        </is>
      </c>
      <c r="F29" s="12" t="inlineStr">
        <is>
          <t>Dentro brief</t>
        </is>
      </c>
      <c r="G29" s="12" t="inlineStr">
        <is>
          <t>Bassa</t>
        </is>
      </c>
      <c r="H29" s="12" t="inlineStr">
        <is>
          <t>Progetto</t>
        </is>
      </c>
      <c r="I29" s="12" t="inlineStr">
        <is>
          <t>OD opzionale</t>
        </is>
      </c>
      <c r="J29" s="15" t="inlineStr">
        <is>
          <t>P4 KIT COMM</t>
        </is>
      </c>
    </row>
    <row r="30">
      <c r="A30" s="8" t="inlineStr">
        <is>
          <t>P4.B</t>
        </is>
      </c>
      <c r="B30" s="9" t="inlineStr">
        <is>
          <t>Concept design brochure presentazione</t>
        </is>
      </c>
      <c r="C30" s="9" t="inlineStr">
        <is>
          <t>Layout + impostazione grafica · stampa esterna · opzionale</t>
        </is>
      </c>
      <c r="D30" s="9" t="inlineStr">
        <is>
          <t>HeyAI</t>
        </is>
      </c>
      <c r="E30" s="9" t="inlineStr">
        <is>
          <t>Satellite</t>
        </is>
      </c>
      <c r="F30" s="9" t="inlineStr">
        <is>
          <t>Dentro brief</t>
        </is>
      </c>
      <c r="G30" s="9" t="inlineStr">
        <is>
          <t>Bassa</t>
        </is>
      </c>
      <c r="H30" s="9" t="inlineStr">
        <is>
          <t>Progetto</t>
        </is>
      </c>
      <c r="I30" s="9" t="inlineStr">
        <is>
          <t>OD opzionale</t>
        </is>
      </c>
      <c r="J30" s="15" t="inlineStr">
        <is>
          <t>P4 KIT COMM</t>
        </is>
      </c>
    </row>
    <row r="31">
      <c r="A31" s="11" t="inlineStr">
        <is>
          <t>P4.C</t>
        </is>
      </c>
      <c r="B31" s="12" t="inlineStr">
        <is>
          <t>Concept scouting gadget personalizzati</t>
        </is>
      </c>
      <c r="C31" s="12" t="inlineStr">
        <is>
          <t>Concept + scouting fornitori produzione esterna · opzionale</t>
        </is>
      </c>
      <c r="D31" s="12" t="inlineStr">
        <is>
          <t>HeyAI</t>
        </is>
      </c>
      <c r="E31" s="12" t="inlineStr">
        <is>
          <t>Satellite</t>
        </is>
      </c>
      <c r="F31" s="12" t="inlineStr">
        <is>
          <t>Dentro brief</t>
        </is>
      </c>
      <c r="G31" s="12" t="inlineStr">
        <is>
          <t>Bassa</t>
        </is>
      </c>
      <c r="H31" s="12" t="inlineStr">
        <is>
          <t>Progetto</t>
        </is>
      </c>
      <c r="I31" s="12" t="inlineStr">
        <is>
          <t>OD opzionale</t>
        </is>
      </c>
      <c r="J31" s="15" t="inlineStr">
        <is>
          <t>P4 KIT COMM</t>
        </is>
      </c>
    </row>
  </sheetData>
  <autoFilter ref="A3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2" customWidth="1" min="9" max="9"/>
    <col width="50" customWidth="1" min="10" max="10"/>
  </cols>
  <sheetData>
    <row r="1" ht="28" customHeight="1">
      <c r="A1" s="1" t="inlineStr">
        <is>
          <t>Pricing Detail — Calcoli per ogni voce con formule live</t>
        </is>
      </c>
    </row>
    <row r="2">
      <c r="A2" s="6" t="inlineStr">
        <is>
          <t>Effort g/u, tariffa, costo, prezzo cliente, margine. Modifica solo celle gialle/blu. Formule in nero.</t>
        </is>
      </c>
    </row>
    <row r="4" ht="32" customHeight="1">
      <c r="A4" s="7" t="inlineStr">
        <is>
          <t>Codice</t>
        </is>
      </c>
      <c r="B4" s="7" t="inlineStr">
        <is>
          <t>Servizio</t>
        </is>
      </c>
      <c r="C4" s="7" t="inlineStr">
        <is>
          <t>Effort g/u HeyAI</t>
        </is>
      </c>
      <c r="D4" s="7" t="inlineStr">
        <is>
          <t>Effort g/u FuturItaly</t>
        </is>
      </c>
      <c r="E4" s="7" t="inlineStr">
        <is>
          <t>Costo HeyAI (calc)</t>
        </is>
      </c>
      <c r="F4" s="7" t="inlineStr">
        <is>
          <t>Costo FuturItaly cliente (calc)</t>
        </is>
      </c>
      <c r="G4" s="7" t="inlineStr">
        <is>
          <t>Prezzo cliente proposto</t>
        </is>
      </c>
      <c r="H4" s="7" t="inlineStr">
        <is>
          <t>Margine € (calc)</t>
        </is>
      </c>
      <c r="I4" s="7" t="inlineStr">
        <is>
          <t>Margine % (calc)</t>
        </is>
      </c>
      <c r="J4" s="7" t="inlineStr">
        <is>
          <t>Note pricing</t>
        </is>
      </c>
    </row>
    <row r="5">
      <c r="A5" s="16" t="inlineStr">
        <is>
          <t>P1.0</t>
        </is>
      </c>
      <c r="B5" s="17" t="inlineStr">
        <is>
          <t>Riallineamento sito attuale</t>
        </is>
      </c>
      <c r="C5" s="18" t="n">
        <v>8</v>
      </c>
      <c r="D5" s="18" t="n">
        <v>0</v>
      </c>
      <c r="E5" s="19">
        <f>C5*'07_Variables'!$B$5</f>
        <v/>
      </c>
      <c r="F5" s="20" t="inlineStr">
        <is>
          <t>—</t>
        </is>
      </c>
      <c r="G5" s="21" t="n">
        <v>6000</v>
      </c>
      <c r="H5" s="22">
        <f>G5-IFERROR(E5,0)-IFERROR(F5,0)</f>
        <v/>
      </c>
      <c r="I5" s="23">
        <f>IFERROR(H5/G5,0)</f>
        <v/>
      </c>
      <c r="J5" s="24" t="inlineStr">
        <is>
          <t>Minimo indispensabile · copy + foto + 1-2 sezioni · richiede accesso facile CMS attuale</t>
        </is>
      </c>
    </row>
    <row r="6">
      <c r="A6" s="25" t="inlineStr">
        <is>
          <t>P1.1</t>
        </is>
      </c>
      <c r="B6" s="26" t="inlineStr">
        <is>
          <t>Sito nuovo pubblico (Fase 2)</t>
        </is>
      </c>
      <c r="C6" s="18" t="n">
        <v>35</v>
      </c>
      <c r="D6" s="18" t="n">
        <v>0</v>
      </c>
      <c r="E6" s="27">
        <f>C6*'07_Variables'!$B$5</f>
        <v/>
      </c>
      <c r="F6" s="28" t="inlineStr">
        <is>
          <t>—</t>
        </is>
      </c>
      <c r="G6" s="21" t="n">
        <v>28000</v>
      </c>
      <c r="H6" s="29">
        <f>G6-IFERROR(E6,0)-IFERROR(F6,0)</f>
        <v/>
      </c>
      <c r="I6" s="30">
        <f>IFERROR(H6/G6,0)</f>
        <v/>
      </c>
      <c r="J6" s="31" t="inlineStr">
        <is>
          <t>Mid-range conservativo · sfrutta architettura esistente Claude Code + AI assistance</t>
        </is>
      </c>
    </row>
    <row r="7">
      <c r="A7" s="16" t="inlineStr">
        <is>
          <t>P1.A</t>
        </is>
      </c>
      <c r="B7" s="17" t="inlineStr">
        <is>
          <t>Studio strategico CJ + analisi mercato</t>
        </is>
      </c>
      <c r="C7" s="18" t="n">
        <v>5</v>
      </c>
      <c r="D7" s="18" t="n">
        <v>0</v>
      </c>
      <c r="E7" s="19">
        <f>C7*'07_Variables'!$B$5</f>
        <v/>
      </c>
      <c r="F7" s="20" t="inlineStr">
        <is>
          <t>—</t>
        </is>
      </c>
      <c r="G7" s="21" t="n">
        <v>4000</v>
      </c>
      <c r="H7" s="22">
        <f>G7-IFERROR(E7,0)-IFERROR(F7,0)</f>
        <v/>
      </c>
      <c r="I7" s="23">
        <f>IFERROR(H7/G7,0)</f>
        <v/>
      </c>
      <c r="J7" s="24" t="inlineStr">
        <is>
          <t>Studio veloce con AI assistance · 5 personas approfondite + market analysis</t>
        </is>
      </c>
    </row>
    <row r="8">
      <c r="A8" s="25" t="inlineStr">
        <is>
          <t>P1.B</t>
        </is>
      </c>
      <c r="B8" s="26" t="inlineStr">
        <is>
          <t>4 MVP AI verticali</t>
        </is>
      </c>
      <c r="C8" s="18" t="n">
        <v>38</v>
      </c>
      <c r="D8" s="18" t="n">
        <v>0</v>
      </c>
      <c r="E8" s="27">
        <f>C8*'07_Variables'!$B$5</f>
        <v/>
      </c>
      <c r="F8" s="28" t="inlineStr">
        <is>
          <t>—</t>
        </is>
      </c>
      <c r="G8" s="21" t="n">
        <v>29000</v>
      </c>
      <c r="H8" s="29">
        <f>G8-IFERROR(E8,0)-IFERROR(F8,0)</f>
        <v/>
      </c>
      <c r="I8" s="30">
        <f>IFERROR(H8/G8,0)</f>
        <v/>
      </c>
      <c r="J8" s="31" t="inlineStr">
        <is>
          <t>Confermato Carlo · MVP LLM-based · prompt eng + UI conversazionale + guardrail</t>
        </is>
      </c>
    </row>
    <row r="9">
      <c r="A9" s="16" t="inlineStr">
        <is>
          <t>P1.C.1</t>
        </is>
      </c>
      <c r="B9" s="17" t="inlineStr">
        <is>
          <t>Area Riservata Semplice</t>
        </is>
      </c>
      <c r="C9" s="18" t="n">
        <v>12</v>
      </c>
      <c r="D9" s="18" t="n">
        <v>0</v>
      </c>
      <c r="E9" s="19">
        <f>C9*'07_Variables'!$B$5</f>
        <v/>
      </c>
      <c r="F9" s="20" t="inlineStr">
        <is>
          <t>—</t>
        </is>
      </c>
      <c r="G9" s="21" t="n">
        <v>8000</v>
      </c>
      <c r="H9" s="22">
        <f>G9-IFERROR(E9,0)-IFERROR(F9,0)</f>
        <v/>
      </c>
      <c r="I9" s="23">
        <f>IFERROR(H9/G9,0)</f>
        <v/>
      </c>
      <c r="J9" s="24" t="inlineStr">
        <is>
          <t>MVP minimo · login + area unica · no differenziazione tenant</t>
        </is>
      </c>
    </row>
    <row r="10">
      <c r="A10" s="25" t="inlineStr">
        <is>
          <t>P1.C.2</t>
        </is>
      </c>
      <c r="B10" s="26" t="inlineStr">
        <is>
          <t>Area Riservata Avanzata (upgrade)</t>
        </is>
      </c>
      <c r="C10" s="18" t="n">
        <v>20</v>
      </c>
      <c r="D10" s="18" t="n">
        <v>0</v>
      </c>
      <c r="E10" s="27">
        <f>C10*'07_Variables'!$B$5</f>
        <v/>
      </c>
      <c r="F10" s="28" t="inlineStr">
        <is>
          <t>—</t>
        </is>
      </c>
      <c r="G10" s="21" t="n">
        <v>15000</v>
      </c>
      <c r="H10" s="29">
        <f>G10-IFERROR(E10,0)-IFERROR(F10,0)</f>
        <v/>
      </c>
      <c r="I10" s="30">
        <f>IFERROR(H10/G10,0)</f>
        <v/>
      </c>
      <c r="J10" s="31" t="inlineStr">
        <is>
          <t>Aggiunge Personal Learning Record + sub-aree per singolo utente</t>
        </is>
      </c>
    </row>
    <row r="11">
      <c r="A11" s="16" t="inlineStr">
        <is>
          <t>P1.D</t>
        </is>
      </c>
      <c r="B11" s="17" t="inlineStr">
        <is>
          <t>Community Engaged Network (3 feature MVP)</t>
        </is>
      </c>
      <c r="C11" s="18" t="n">
        <v>26</v>
      </c>
      <c r="D11" s="18" t="n">
        <v>0</v>
      </c>
      <c r="E11" s="19">
        <f>C11*'07_Variables'!$B$5</f>
        <v/>
      </c>
      <c r="F11" s="20" t="inlineStr">
        <is>
          <t>—</t>
        </is>
      </c>
      <c r="G11" s="21" t="n">
        <v>20000</v>
      </c>
      <c r="H11" s="22">
        <f>G11-IFERROR(E11,0)-IFERROR(F11,0)</f>
        <v/>
      </c>
      <c r="I11" s="23">
        <f>IFERROR(H11/G11,0)</f>
        <v/>
      </c>
      <c r="J11" s="24" t="inlineStr">
        <is>
          <t>3 feature MVP · riuso auth da P1.C · NO AI moderator · NO Quiz</t>
        </is>
      </c>
    </row>
    <row r="12">
      <c r="A12" s="25" t="inlineStr">
        <is>
          <t>P1.E</t>
        </is>
      </c>
      <c r="B12" s="26" t="inlineStr">
        <is>
          <t>Analytics + Dashboard interna</t>
        </is>
      </c>
      <c r="C12" s="18" t="n">
        <v>6</v>
      </c>
      <c r="D12" s="18" t="n">
        <v>0</v>
      </c>
      <c r="E12" s="27">
        <f>C12*'07_Variables'!$B$5</f>
        <v/>
      </c>
      <c r="F12" s="28" t="inlineStr">
        <is>
          <t>—</t>
        </is>
      </c>
      <c r="G12" s="21" t="n">
        <v>4500</v>
      </c>
      <c r="H12" s="29">
        <f>G12-IFERROR(E12,0)-IFERROR(F12,0)</f>
        <v/>
      </c>
      <c r="I12" s="30">
        <f>IFERROR(H12/G12,0)</f>
        <v/>
      </c>
      <c r="J12" s="31" t="inlineStr">
        <is>
          <t>Native su dati sito · no integrazioni esterne</t>
        </is>
      </c>
    </row>
    <row r="13">
      <c r="A13" s="16" t="inlineStr">
        <is>
          <t>P1.F</t>
        </is>
      </c>
      <c r="B13" s="17" t="inlineStr">
        <is>
          <t>Landing eventi pubblici (media per landing)</t>
        </is>
      </c>
      <c r="C13" s="18" t="n">
        <v>10</v>
      </c>
      <c r="D13" s="18" t="n">
        <v>0</v>
      </c>
      <c r="E13" s="19">
        <f>C13*'07_Variables'!$B$5</f>
        <v/>
      </c>
      <c r="F13" s="20" t="inlineStr">
        <is>
          <t>—</t>
        </is>
      </c>
      <c r="G13" s="21" t="n">
        <v>7500</v>
      </c>
      <c r="H13" s="22">
        <f>G13-IFERROR(E13,0)-IFERROR(F13,0)</f>
        <v/>
      </c>
      <c r="I13" s="23">
        <f>IFERROR(H13/G13,0)</f>
        <v/>
      </c>
      <c r="J13" s="24" t="inlineStr">
        <is>
          <t>Range €5-10k per landing · valore mid usato qui</t>
        </is>
      </c>
    </row>
    <row r="14">
      <c r="A14" s="25" t="inlineStr">
        <is>
          <t>P1.G</t>
        </is>
      </c>
      <c r="B14" s="26" t="inlineStr">
        <is>
          <t>Landing eventi interni (media per landing)</t>
        </is>
      </c>
      <c r="C14" s="18" t="n">
        <v>10</v>
      </c>
      <c r="D14" s="18" t="n">
        <v>0</v>
      </c>
      <c r="E14" s="27">
        <f>C14*'07_Variables'!$B$5</f>
        <v/>
      </c>
      <c r="F14" s="28" t="inlineStr">
        <is>
          <t>—</t>
        </is>
      </c>
      <c r="G14" s="21" t="n">
        <v>7500</v>
      </c>
      <c r="H14" s="29">
        <f>G14-IFERROR(E14,0)-IFERROR(F14,0)</f>
        <v/>
      </c>
      <c r="I14" s="30">
        <f>IFERROR(H14/G14,0)</f>
        <v/>
      </c>
      <c r="J14" s="31" t="inlineStr">
        <is>
          <t>Range €5-10k per landing · richiede P1.C attivata</t>
        </is>
      </c>
    </row>
    <row r="15">
      <c r="A15" s="16" t="inlineStr">
        <is>
          <t>P1.H</t>
        </is>
      </c>
      <c r="B15" s="17" t="inlineStr">
        <is>
          <t>SEO avanzata (una tantum)</t>
        </is>
      </c>
      <c r="C15" s="18" t="n">
        <v>7</v>
      </c>
      <c r="D15" s="18" t="n">
        <v>0</v>
      </c>
      <c r="E15" s="19">
        <f>C15*'07_Variables'!$B$5</f>
        <v/>
      </c>
      <c r="F15" s="20" t="inlineStr">
        <is>
          <t>—</t>
        </is>
      </c>
      <c r="G15" s="21" t="n">
        <v>5000</v>
      </c>
      <c r="H15" s="22">
        <f>G15-IFERROR(E15,0)-IFERROR(F15,0)</f>
        <v/>
      </c>
      <c r="I15" s="23">
        <f>IFERROR(H15/G15,0)</f>
        <v/>
      </c>
      <c r="J15" s="24" t="inlineStr">
        <is>
          <t>2-3 giorni di lavoro effective con tool moderni</t>
        </is>
      </c>
    </row>
    <row r="16">
      <c r="A16" s="25" t="inlineStr">
        <is>
          <t>P1.I</t>
        </is>
      </c>
      <c r="B16" s="26" t="inlineStr">
        <is>
          <t>Accessibility WCAG/EAA (add-on)</t>
        </is>
      </c>
      <c r="C16" s="18" t="n">
        <v>5</v>
      </c>
      <c r="D16" s="18" t="n">
        <v>0</v>
      </c>
      <c r="E16" s="27">
        <f>C16*'07_Variables'!$B$5</f>
        <v/>
      </c>
      <c r="F16" s="28" t="inlineStr">
        <is>
          <t>—</t>
        </is>
      </c>
      <c r="G16" s="21" t="n">
        <v>3500</v>
      </c>
      <c r="H16" s="29">
        <f>G16-IFERROR(E16,0)-IFERROR(F16,0)</f>
        <v/>
      </c>
      <c r="I16" s="30">
        <f>IFERROR(H16/G16,0)</f>
        <v/>
      </c>
      <c r="J16" s="31" t="inlineStr">
        <is>
          <t>Audit + fix per conformità EAA UE</t>
        </is>
      </c>
    </row>
    <row r="17">
      <c r="A17" s="16" t="inlineStr">
        <is>
          <t>P1.J</t>
        </is>
      </c>
      <c r="B17" s="17" t="inlineStr">
        <is>
          <t>Analytics setup base GA4+Plausible</t>
        </is>
      </c>
      <c r="C17" s="18" t="n">
        <v>4</v>
      </c>
      <c r="D17" s="18" t="n">
        <v>0</v>
      </c>
      <c r="E17" s="19">
        <f>C17*'07_Variables'!$B$5</f>
        <v/>
      </c>
      <c r="F17" s="20" t="inlineStr">
        <is>
          <t>—</t>
        </is>
      </c>
      <c r="G17" s="21" t="n">
        <v>3000</v>
      </c>
      <c r="H17" s="22">
        <f>G17-IFERROR(E17,0)-IFERROR(F17,0)</f>
        <v/>
      </c>
      <c r="I17" s="23">
        <f>IFERROR(H17/G17,0)</f>
        <v/>
      </c>
      <c r="J17" s="24" t="inlineStr">
        <is>
          <t>Setup tecnico + eventi conversion</t>
        </is>
      </c>
    </row>
    <row r="18">
      <c r="A18" s="25" t="inlineStr">
        <is>
          <t>P1.K</t>
        </is>
      </c>
      <c r="B18" s="26" t="inlineStr">
        <is>
          <t>Integrazione tecnica email marketing</t>
        </is>
      </c>
      <c r="C18" s="18" t="n">
        <v>3</v>
      </c>
      <c r="D18" s="18" t="n">
        <v>0</v>
      </c>
      <c r="E18" s="27">
        <f>C18*'07_Variables'!$B$5</f>
        <v/>
      </c>
      <c r="F18" s="28" t="inlineStr">
        <is>
          <t>—</t>
        </is>
      </c>
      <c r="G18" s="21" t="n">
        <v>2500</v>
      </c>
      <c r="H18" s="29">
        <f>G18-IFERROR(E18,0)-IFERROR(F18,0)</f>
        <v/>
      </c>
      <c r="I18" s="30">
        <f>IFERROR(H18/G18,0)</f>
        <v/>
      </c>
      <c r="J18" s="31" t="inlineStr">
        <is>
          <t>Solo connessione form sito → piattaforma email</t>
        </is>
      </c>
    </row>
    <row r="19">
      <c r="A19" s="16" t="inlineStr">
        <is>
          <t>P2.0W</t>
        </is>
      </c>
      <c r="B19" s="17" t="inlineStr">
        <is>
          <t>Workshop iniziale (mid-range)</t>
        </is>
      </c>
      <c r="C19" s="18" t="n">
        <v>15</v>
      </c>
      <c r="D19" s="18" t="n">
        <v>2</v>
      </c>
      <c r="E19" s="19">
        <f>C19*'07_Variables'!$B$5</f>
        <v/>
      </c>
      <c r="F19" s="19">
        <f>D19*'07_Variables'!$B$8</f>
        <v/>
      </c>
      <c r="G19" s="21" t="n">
        <v>10000</v>
      </c>
      <c r="H19" s="22">
        <f>G19-IFERROR(E19,0)-IFERROR(F19,0)</f>
        <v/>
      </c>
      <c r="I19" s="23">
        <f>IFERROR(H19/G19,0)</f>
        <v/>
      </c>
      <c r="J19" s="24" t="inlineStr">
        <is>
          <t>Range €8-12k · valore mid usato · workshop + copywriting + press kit + 2 Founder Stories</t>
        </is>
      </c>
    </row>
    <row r="20">
      <c r="A20" s="25" t="inlineStr">
        <is>
          <t>P2.0C</t>
        </is>
      </c>
      <c r="B20" s="26" t="inlineStr">
        <is>
          <t>Continuativo mensile contenuti</t>
        </is>
      </c>
      <c r="C20" s="18" t="n">
        <v>4</v>
      </c>
      <c r="D20" s="18" t="n">
        <v>1</v>
      </c>
      <c r="E20" s="27">
        <f>C20*'07_Variables'!$B$5</f>
        <v/>
      </c>
      <c r="F20" s="27">
        <f>D20*'07_Variables'!$B$8</f>
        <v/>
      </c>
      <c r="G20" s="21" t="n">
        <v>3000</v>
      </c>
      <c r="H20" s="29">
        <f>G20-IFERROR(E20,0)-IFERROR(F20,0)</f>
        <v/>
      </c>
      <c r="I20" s="30">
        <f>IFERROR(H20/G20,0)</f>
        <v/>
      </c>
      <c r="J20" s="31" t="inlineStr">
        <is>
          <t>€3k/mese · ~5 g/mese mix HeyAI+FI · PM incluso</t>
        </is>
      </c>
    </row>
    <row r="21">
      <c r="A21" s="16" t="inlineStr">
        <is>
          <t>P2.1</t>
        </is>
      </c>
      <c r="B21" s="17" t="inlineStr">
        <is>
          <t>PM &amp; Operations</t>
        </is>
      </c>
      <c r="C21" s="18" t="n">
        <v>0</v>
      </c>
      <c r="D21" s="18" t="n">
        <v>0</v>
      </c>
      <c r="E21" s="20" t="inlineStr">
        <is>
          <t>—</t>
        </is>
      </c>
      <c r="F21" s="20" t="inlineStr">
        <is>
          <t>—</t>
        </is>
      </c>
      <c r="G21" s="21" t="n">
        <v>0</v>
      </c>
      <c r="H21" s="32" t="inlineStr">
        <is>
          <t>—</t>
        </is>
      </c>
      <c r="I21" s="32" t="inlineStr">
        <is>
          <t>—</t>
        </is>
      </c>
      <c r="J21" s="24" t="inlineStr">
        <is>
          <t>INCLUSO DI DEFAULT in P2.0C · non quotato a parte · ore extra on-demand su richiesta</t>
        </is>
      </c>
    </row>
    <row r="22">
      <c r="A22" s="25" t="inlineStr">
        <is>
          <t>P2.A</t>
        </is>
      </c>
      <c r="B22" s="26" t="inlineStr">
        <is>
          <t>Gestione LinkedIn Academy mensile</t>
        </is>
      </c>
      <c r="C22" s="18" t="n">
        <v>6</v>
      </c>
      <c r="D22" s="18" t="n">
        <v>0</v>
      </c>
      <c r="E22" s="27">
        <f>C22*'07_Variables'!$B$5</f>
        <v/>
      </c>
      <c r="F22" s="28" t="inlineStr">
        <is>
          <t>—</t>
        </is>
      </c>
      <c r="G22" s="21" t="n">
        <v>4500</v>
      </c>
      <c r="H22" s="29">
        <f>G22-IFERROR(E22,0)-IFERROR(F22,0)</f>
        <v/>
      </c>
      <c r="I22" s="30">
        <f>IFERROR(H22/G22,0)</f>
        <v/>
      </c>
      <c r="J22" s="31" t="inlineStr">
        <is>
          <t>€4.5k/mese · organic + paid management + visual social card · budget media a parte cliente</t>
        </is>
      </c>
    </row>
    <row r="23">
      <c r="A23" s="16" t="inlineStr">
        <is>
          <t>P2.BS</t>
        </is>
      </c>
      <c r="B23" s="17" t="inlineStr">
        <is>
          <t>Email marketing setup</t>
        </is>
      </c>
      <c r="C23" s="18" t="n">
        <v>5</v>
      </c>
      <c r="D23" s="18" t="n">
        <v>0</v>
      </c>
      <c r="E23" s="19">
        <f>C23*'07_Variables'!$B$5</f>
        <v/>
      </c>
      <c r="F23" s="20" t="inlineStr">
        <is>
          <t>—</t>
        </is>
      </c>
      <c r="G23" s="21" t="n">
        <v>3500</v>
      </c>
      <c r="H23" s="22">
        <f>G23-IFERROR(E23,0)-IFERROR(F23,0)</f>
        <v/>
      </c>
      <c r="I23" s="23">
        <f>IFERROR(H23/G23,0)</f>
        <v/>
      </c>
      <c r="J23" s="24" t="inlineStr">
        <is>
          <t>Setup piattaforma + segmentazione + template + 1-2 automation</t>
        </is>
      </c>
    </row>
    <row r="24">
      <c r="A24" s="25" t="inlineStr">
        <is>
          <t>P2.BC</t>
        </is>
      </c>
      <c r="B24" s="26" t="inlineStr">
        <is>
          <t>Email marketing continuativo mensile</t>
        </is>
      </c>
      <c r="C24" s="18" t="n">
        <v>2</v>
      </c>
      <c r="D24" s="18" t="n">
        <v>0</v>
      </c>
      <c r="E24" s="27">
        <f>C24*'07_Variables'!$B$5</f>
        <v/>
      </c>
      <c r="F24" s="28" t="inlineStr">
        <is>
          <t>—</t>
        </is>
      </c>
      <c r="G24" s="21" t="n">
        <v>1500</v>
      </c>
      <c r="H24" s="29">
        <f>G24-IFERROR(E24,0)-IFERROR(F24,0)</f>
        <v/>
      </c>
      <c r="I24" s="30">
        <f>IFERROR(H24/G24,0)</f>
        <v/>
      </c>
      <c r="J24" s="31" t="inlineStr">
        <is>
          <t>€1.5k/mese · campagne segmentate + drip + reporting</t>
        </is>
      </c>
    </row>
    <row r="25">
      <c r="A25" s="16" t="inlineStr">
        <is>
          <t>P2.C1</t>
        </is>
      </c>
      <c r="B25" s="17" t="inlineStr">
        <is>
          <t>Integrazione CRM (su richiesta)</t>
        </is>
      </c>
      <c r="C25" s="33" t="inlineStr">
        <is>
          <t>TBD</t>
        </is>
      </c>
      <c r="D25" s="33" t="inlineStr">
        <is>
          <t>TBD</t>
        </is>
      </c>
      <c r="E25" s="20" t="inlineStr">
        <is>
          <t>TBD</t>
        </is>
      </c>
      <c r="F25" s="20" t="inlineStr">
        <is>
          <t>TBD</t>
        </is>
      </c>
      <c r="G25" s="34" t="inlineStr">
        <is>
          <t>TBD</t>
        </is>
      </c>
      <c r="H25" s="32" t="inlineStr">
        <is>
          <t>—</t>
        </is>
      </c>
      <c r="I25" s="32" t="inlineStr">
        <is>
          <t>—</t>
        </is>
      </c>
      <c r="J25" s="24" t="inlineStr">
        <is>
          <t>Quotato a parte su richiesta · range tipico €10-15k una tantum</t>
        </is>
      </c>
    </row>
    <row r="26">
      <c r="A26" s="25" t="inlineStr">
        <is>
          <t>P2.C2</t>
        </is>
      </c>
      <c r="B26" s="26" t="inlineStr">
        <is>
          <t>Gateway pagamento (su richiesta)</t>
        </is>
      </c>
      <c r="C26" s="35" t="inlineStr">
        <is>
          <t>TBD</t>
        </is>
      </c>
      <c r="D26" s="35" t="inlineStr">
        <is>
          <t>TBD</t>
        </is>
      </c>
      <c r="E26" s="28" t="inlineStr">
        <is>
          <t>TBD</t>
        </is>
      </c>
      <c r="F26" s="28" t="inlineStr">
        <is>
          <t>TBD</t>
        </is>
      </c>
      <c r="G26" s="36" t="inlineStr">
        <is>
          <t>TBD</t>
        </is>
      </c>
      <c r="H26" s="37" t="inlineStr">
        <is>
          <t>—</t>
        </is>
      </c>
      <c r="I26" s="37" t="inlineStr">
        <is>
          <t>—</t>
        </is>
      </c>
      <c r="J26" s="31" t="inlineStr">
        <is>
          <t>Quotato a parte su richiesta · range tipico €8-12k una tantum</t>
        </is>
      </c>
    </row>
    <row r="27">
      <c r="A27" s="16" t="inlineStr">
        <is>
          <t>P3.A</t>
        </is>
      </c>
      <c r="B27" s="17" t="inlineStr">
        <is>
          <t>Rete accademica prima ondata (9 atenei)</t>
        </is>
      </c>
      <c r="C27" s="18" t="n">
        <v>0</v>
      </c>
      <c r="D27" s="33" t="inlineStr">
        <is>
          <t>TBD</t>
        </is>
      </c>
      <c r="E27" s="20" t="inlineStr">
        <is>
          <t>—</t>
        </is>
      </c>
      <c r="F27" s="20" t="inlineStr">
        <is>
          <t>TBD</t>
        </is>
      </c>
      <c r="G27" s="34" t="inlineStr">
        <is>
          <t>TBD</t>
        </is>
      </c>
      <c r="H27" s="32" t="inlineStr">
        <is>
          <t>—</t>
        </is>
      </c>
      <c r="I27" s="32" t="inlineStr">
        <is>
          <t>—</t>
        </is>
      </c>
      <c r="J27" s="24" t="inlineStr">
        <is>
          <t>Quotazione fornita da FuturItaly direttamente · NON aggiungere prezzo HeyAI</t>
        </is>
      </c>
    </row>
    <row r="28">
      <c r="A28" s="25" t="inlineStr">
        <is>
          <t>P3.B</t>
        </is>
      </c>
      <c r="B28" s="26" t="inlineStr">
        <is>
          <t>Rete accademica seconda ondata (4 atenei)</t>
        </is>
      </c>
      <c r="C28" s="18" t="n">
        <v>0</v>
      </c>
      <c r="D28" s="35" t="inlineStr">
        <is>
          <t>TBD</t>
        </is>
      </c>
      <c r="E28" s="28" t="inlineStr">
        <is>
          <t>—</t>
        </is>
      </c>
      <c r="F28" s="28" t="inlineStr">
        <is>
          <t>TBD</t>
        </is>
      </c>
      <c r="G28" s="36" t="inlineStr">
        <is>
          <t>TBD</t>
        </is>
      </c>
      <c r="H28" s="37" t="inlineStr">
        <is>
          <t>—</t>
        </is>
      </c>
      <c r="I28" s="37" t="inlineStr">
        <is>
          <t>—</t>
        </is>
      </c>
      <c r="J28" s="31" t="inlineStr">
        <is>
          <t>Quotazione FuturItaly diretta</t>
        </is>
      </c>
    </row>
    <row r="29">
      <c r="A29" s="16" t="inlineStr">
        <is>
          <t>P3.C</t>
        </is>
      </c>
      <c r="B29" s="17" t="inlineStr">
        <is>
          <t>Bandi UE finanza agevolata (per bando)</t>
        </is>
      </c>
      <c r="C29" s="18" t="n">
        <v>0</v>
      </c>
      <c r="D29" s="33" t="inlineStr">
        <is>
          <t>TBD</t>
        </is>
      </c>
      <c r="E29" s="20" t="inlineStr">
        <is>
          <t>—</t>
        </is>
      </c>
      <c r="F29" s="20" t="inlineStr">
        <is>
          <t>TBD</t>
        </is>
      </c>
      <c r="G29" s="34" t="inlineStr">
        <is>
          <t>TBD</t>
        </is>
      </c>
      <c r="H29" s="32" t="inlineStr">
        <is>
          <t>—</t>
        </is>
      </c>
      <c r="I29" s="32" t="inlineStr">
        <is>
          <t>—</t>
        </is>
      </c>
      <c r="J29" s="24" t="inlineStr">
        <is>
          <t>Quotazione FuturItaly diretta · su richiesta per ciascun bando</t>
        </is>
      </c>
    </row>
    <row r="30">
      <c r="A30" s="25" t="inlineStr">
        <is>
          <t>P4.A</t>
        </is>
      </c>
      <c r="B30" s="26" t="inlineStr">
        <is>
          <t>Concept video promo</t>
        </is>
      </c>
      <c r="C30" s="35" t="inlineStr">
        <is>
          <t>TBD</t>
        </is>
      </c>
      <c r="D30" s="18" t="n">
        <v>0</v>
      </c>
      <c r="E30" s="28" t="inlineStr">
        <is>
          <t>TBD</t>
        </is>
      </c>
      <c r="F30" s="28" t="inlineStr">
        <is>
          <t>—</t>
        </is>
      </c>
      <c r="G30" s="36" t="inlineStr">
        <is>
          <t>TBD</t>
        </is>
      </c>
      <c r="H30" s="37" t="inlineStr">
        <is>
          <t>—</t>
        </is>
      </c>
      <c r="I30" s="37" t="inlineStr">
        <is>
          <t>—</t>
        </is>
      </c>
      <c r="J30" s="31" t="inlineStr">
        <is>
          <t>Su quotazione su richiesta · cliente probabilmente ha fornitore dedicato</t>
        </is>
      </c>
    </row>
    <row r="31">
      <c r="A31" s="16" t="inlineStr">
        <is>
          <t>P4.B</t>
        </is>
      </c>
      <c r="B31" s="17" t="inlineStr">
        <is>
          <t>Concept brochure</t>
        </is>
      </c>
      <c r="C31" s="33" t="inlineStr">
        <is>
          <t>TBD</t>
        </is>
      </c>
      <c r="D31" s="18" t="n">
        <v>0</v>
      </c>
      <c r="E31" s="20" t="inlineStr">
        <is>
          <t>TBD</t>
        </is>
      </c>
      <c r="F31" s="20" t="inlineStr">
        <is>
          <t>—</t>
        </is>
      </c>
      <c r="G31" s="34" t="inlineStr">
        <is>
          <t>TBD</t>
        </is>
      </c>
      <c r="H31" s="32" t="inlineStr">
        <is>
          <t>—</t>
        </is>
      </c>
      <c r="I31" s="32" t="inlineStr">
        <is>
          <t>—</t>
        </is>
      </c>
      <c r="J31" s="24" t="inlineStr">
        <is>
          <t>Su quotazione su richiesta</t>
        </is>
      </c>
    </row>
    <row r="32">
      <c r="A32" s="25" t="inlineStr">
        <is>
          <t>P4.C</t>
        </is>
      </c>
      <c r="B32" s="26" t="inlineStr">
        <is>
          <t>Concept scouting gadget</t>
        </is>
      </c>
      <c r="C32" s="35" t="inlineStr">
        <is>
          <t>TBD</t>
        </is>
      </c>
      <c r="D32" s="18" t="n">
        <v>0</v>
      </c>
      <c r="E32" s="28" t="inlineStr">
        <is>
          <t>TBD</t>
        </is>
      </c>
      <c r="F32" s="28" t="inlineStr">
        <is>
          <t>—</t>
        </is>
      </c>
      <c r="G32" s="36" t="inlineStr">
        <is>
          <t>TBD</t>
        </is>
      </c>
      <c r="H32" s="37" t="inlineStr">
        <is>
          <t>—</t>
        </is>
      </c>
      <c r="I32" s="37" t="inlineStr">
        <is>
          <t>—</t>
        </is>
      </c>
      <c r="J32" s="31" t="inlineStr">
        <is>
          <t>Su quotazione su richiesta</t>
        </is>
      </c>
    </row>
  </sheetData>
  <conditionalFormatting sqref="I5:I32">
    <cfRule type="cellIs" priority="1" operator="lessThan" dxfId="0">
      <formula>0.4</formula>
    </cfRule>
    <cfRule type="cellIs" priority="2" operator="greaterThanOrEqual" dxfId="1"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4" customWidth="1" min="4" max="4"/>
    <col width="38" customWidth="1" min="5" max="5"/>
  </cols>
  <sheetData>
    <row r="1" ht="28" customHeight="1">
      <c r="A1" s="1" t="inlineStr">
        <is>
          <t>Pacchetti Commerciali — struttura di vendita finale</t>
        </is>
      </c>
    </row>
    <row r="2">
      <c r="A2" s="6" t="inlineStr">
        <is>
          <t>4 pacchetti: P1 SITO · P2 EDITORIALE&amp;SOCIAL · P3 FUTURITALY · P4 KIT COMM. Modularità à la carte.</t>
        </is>
      </c>
    </row>
    <row r="4">
      <c r="A4" s="38" t="inlineStr">
        <is>
          <t>P1 — SITO WEB</t>
        </is>
      </c>
    </row>
    <row r="5" ht="32" customHeight="1">
      <c r="A5" s="7" t="inlineStr">
        <is>
          <t>Codice</t>
        </is>
      </c>
      <c r="B5" s="7" t="inlineStr">
        <is>
          <t>Voce</t>
        </is>
      </c>
      <c r="C5" s="7" t="inlineStr">
        <is>
          <t>Tipologia</t>
        </is>
      </c>
      <c r="D5" s="7" t="inlineStr">
        <is>
          <t>Prezzo proposto</t>
        </is>
      </c>
      <c r="E5" s="7" t="inlineStr">
        <is>
          <t>Note</t>
        </is>
      </c>
    </row>
    <row r="6">
      <c r="A6" s="39" t="inlineStr">
        <is>
          <t>Nucleo (alternative)</t>
        </is>
      </c>
    </row>
    <row r="7">
      <c r="A7" s="40" t="inlineStr">
        <is>
          <t>P1.0</t>
        </is>
      </c>
      <c r="B7" s="17" t="inlineStr">
        <is>
          <t>Riallineamento sito attuale</t>
        </is>
      </c>
      <c r="C7" s="17" t="inlineStr">
        <is>
          <t>Progetto Fase 1</t>
        </is>
      </c>
      <c r="D7" s="41" t="inlineStr">
        <is>
          <t>€ 6.000</t>
        </is>
      </c>
      <c r="E7" s="17" t="inlineStr">
        <is>
          <t>Entry minimo · pre-Festival Trento</t>
        </is>
      </c>
    </row>
    <row r="8">
      <c r="A8" s="40" t="inlineStr">
        <is>
          <t>P1.1</t>
        </is>
      </c>
      <c r="B8" s="17" t="inlineStr">
        <is>
          <t>Sito web pubblico nuovo (Fase 2)</t>
        </is>
      </c>
      <c r="C8" s="17" t="inlineStr">
        <is>
          <t>Progetto Fase 2</t>
        </is>
      </c>
      <c r="D8" s="41" t="inlineStr">
        <is>
          <t>€ 28.000</t>
        </is>
      </c>
      <c r="E8" s="17" t="inlineStr">
        <is>
          <t>NUCLEO sito · 2-3 mesi delivery</t>
        </is>
      </c>
    </row>
    <row r="9">
      <c r="A9" s="39" t="inlineStr">
        <is>
          <t>Add-on modulari</t>
        </is>
      </c>
    </row>
    <row r="10">
      <c r="A10" s="40" t="inlineStr">
        <is>
          <t>P1.A</t>
        </is>
      </c>
      <c r="B10" s="17" t="inlineStr">
        <is>
          <t>Studio strategico CJ + analisi mercato</t>
        </is>
      </c>
      <c r="C10" s="17" t="inlineStr">
        <is>
          <t>Pre-F2</t>
        </is>
      </c>
      <c r="D10" s="41" t="inlineStr">
        <is>
          <t>€ 4.000</t>
        </is>
      </c>
      <c r="E10" s="17" t="inlineStr">
        <is>
          <t>Prerequisito raccomandato se P1.1</t>
        </is>
      </c>
    </row>
    <row r="11">
      <c r="A11" s="40" t="inlineStr">
        <is>
          <t>P1.B</t>
        </is>
      </c>
      <c r="B11" s="17" t="inlineStr">
        <is>
          <t>4 MVP Intelligenza Artificiale</t>
        </is>
      </c>
      <c r="C11" s="17" t="inlineStr">
        <is>
          <t>F2</t>
        </is>
      </c>
      <c r="D11" s="41" t="inlineStr">
        <is>
          <t>€ 29.000</t>
        </is>
      </c>
      <c r="E11" s="17" t="inlineStr">
        <is>
          <t>Confermato Carlo</t>
        </is>
      </c>
    </row>
    <row r="12">
      <c r="A12" s="40" t="inlineStr">
        <is>
          <t>P1.C.1</t>
        </is>
      </c>
      <c r="B12" s="17" t="inlineStr">
        <is>
          <t>Area Riservata Semplice</t>
        </is>
      </c>
      <c r="C12" s="17" t="inlineStr">
        <is>
          <t>F2</t>
        </is>
      </c>
      <c r="D12" s="41" t="inlineStr">
        <is>
          <t>€ 8.000</t>
        </is>
      </c>
      <c r="E12" s="17" t="inlineStr">
        <is>
          <t>Login + area unica</t>
        </is>
      </c>
    </row>
    <row r="13">
      <c r="A13" s="40" t="inlineStr">
        <is>
          <t>P1.C.2</t>
        </is>
      </c>
      <c r="B13" s="17" t="inlineStr">
        <is>
          <t>Area Riservata Avanzata (upgrade)</t>
        </is>
      </c>
      <c r="C13" s="17" t="inlineStr">
        <is>
          <t>F2</t>
        </is>
      </c>
      <c r="D13" s="41" t="inlineStr">
        <is>
          <t>€ 15.000</t>
        </is>
      </c>
      <c r="E13" s="17" t="inlineStr">
        <is>
          <t>PLR per singolo utente · richiede C.1</t>
        </is>
      </c>
    </row>
    <row r="14">
      <c r="A14" s="40" t="inlineStr">
        <is>
          <t>P1.D</t>
        </is>
      </c>
      <c r="B14" s="17" t="inlineStr">
        <is>
          <t>Community Engaged Network</t>
        </is>
      </c>
      <c r="C14" s="17" t="inlineStr">
        <is>
          <t>F3 Q1 2027</t>
        </is>
      </c>
      <c r="D14" s="41" t="inlineStr">
        <is>
          <t>€ 20.000</t>
        </is>
      </c>
      <c r="E14" s="17" t="inlineStr">
        <is>
          <t>3 feature MVP · riuso auth</t>
        </is>
      </c>
    </row>
    <row r="15">
      <c r="A15" s="40" t="inlineStr">
        <is>
          <t>P1.E</t>
        </is>
      </c>
      <c r="B15" s="17" t="inlineStr">
        <is>
          <t>Analytics + Dashboard interna</t>
        </is>
      </c>
      <c r="C15" s="17" t="inlineStr">
        <is>
          <t>F2</t>
        </is>
      </c>
      <c r="D15" s="41" t="inlineStr">
        <is>
          <t>€ 4.500</t>
        </is>
      </c>
      <c r="E15" s="17" t="inlineStr">
        <is>
          <t>Native dati sito</t>
        </is>
      </c>
    </row>
    <row r="16">
      <c r="A16" s="40" t="inlineStr">
        <is>
          <t>P1.F</t>
        </is>
      </c>
      <c r="B16" s="17" t="inlineStr">
        <is>
          <t>Landing eventi pubblici</t>
        </is>
      </c>
      <c r="C16" s="17" t="inlineStr">
        <is>
          <t>On-demand</t>
        </is>
      </c>
      <c r="D16" s="41" t="inlineStr">
        <is>
          <t>€ 5.000-10.000 cad</t>
        </is>
      </c>
      <c r="E16" s="17" t="inlineStr">
        <is>
          <t>Range per landing</t>
        </is>
      </c>
    </row>
    <row r="17">
      <c r="A17" s="40" t="inlineStr">
        <is>
          <t>P1.G</t>
        </is>
      </c>
      <c r="B17" s="17" t="inlineStr">
        <is>
          <t>Landing eventi interni</t>
        </is>
      </c>
      <c r="C17" s="17" t="inlineStr">
        <is>
          <t>On-demand</t>
        </is>
      </c>
      <c r="D17" s="41" t="inlineStr">
        <is>
          <t>€ 5.000-10.000 cad</t>
        </is>
      </c>
      <c r="E17" s="17" t="inlineStr">
        <is>
          <t>Richiede P1.C</t>
        </is>
      </c>
    </row>
    <row r="18">
      <c r="A18" s="40" t="inlineStr">
        <is>
          <t>P1.H</t>
        </is>
      </c>
      <c r="B18" s="17" t="inlineStr">
        <is>
          <t>SEO avanzata + topic authority</t>
        </is>
      </c>
      <c r="C18" s="17" t="inlineStr">
        <is>
          <t>Add-on</t>
        </is>
      </c>
      <c r="D18" s="41" t="inlineStr">
        <is>
          <t>€ 5.000</t>
        </is>
      </c>
      <c r="E18" s="17" t="inlineStr">
        <is>
          <t>Una tantum</t>
        </is>
      </c>
    </row>
    <row r="19">
      <c r="A19" s="40" t="inlineStr">
        <is>
          <t>P1.I</t>
        </is>
      </c>
      <c r="B19" s="17" t="inlineStr">
        <is>
          <t>Accessibility WCAG/EAA</t>
        </is>
      </c>
      <c r="C19" s="17" t="inlineStr">
        <is>
          <t>Add-on</t>
        </is>
      </c>
      <c r="D19" s="41" t="inlineStr">
        <is>
          <t>€ 3.500</t>
        </is>
      </c>
      <c r="E19" s="17" t="inlineStr">
        <is>
          <t>Vincolante UE</t>
        </is>
      </c>
    </row>
    <row r="20">
      <c r="A20" s="40" t="inlineStr">
        <is>
          <t>P1.J</t>
        </is>
      </c>
      <c r="B20" s="17" t="inlineStr">
        <is>
          <t>Analytics setup GA4+Plausible</t>
        </is>
      </c>
      <c r="C20" s="17" t="inlineStr">
        <is>
          <t>Add-on</t>
        </is>
      </c>
      <c r="D20" s="41" t="inlineStr">
        <is>
          <t>€ 3.000</t>
        </is>
      </c>
      <c r="E20" s="17" t="inlineStr"/>
    </row>
    <row r="21">
      <c r="A21" s="40" t="inlineStr">
        <is>
          <t>P1.K</t>
        </is>
      </c>
      <c r="B21" s="17" t="inlineStr">
        <is>
          <t>Integrazione email marketing</t>
        </is>
      </c>
      <c r="C21" s="17" t="inlineStr">
        <is>
          <t>Add-on</t>
        </is>
      </c>
      <c r="D21" s="41" t="inlineStr">
        <is>
          <t>€ 2.500</t>
        </is>
      </c>
      <c r="E21" s="17" t="inlineStr">
        <is>
          <t>Tecnica · solo collegamento</t>
        </is>
      </c>
    </row>
    <row r="23">
      <c r="A23" s="38" t="inlineStr">
        <is>
          <t>P2 — EDITORIALE, SOCIAL &amp; OPERATIONS</t>
        </is>
      </c>
    </row>
    <row r="24" ht="32" customHeight="1">
      <c r="A24" s="7" t="inlineStr">
        <is>
          <t>Codice</t>
        </is>
      </c>
      <c r="B24" s="7" t="inlineStr">
        <is>
          <t>Voce</t>
        </is>
      </c>
      <c r="C24" s="7" t="inlineStr">
        <is>
          <t>Tipologia</t>
        </is>
      </c>
      <c r="D24" s="7" t="inlineStr">
        <is>
          <t>Prezzo proposto</t>
        </is>
      </c>
      <c r="E24" s="7" t="inlineStr">
        <is>
          <t>Note</t>
        </is>
      </c>
    </row>
    <row r="25">
      <c r="A25" s="39" t="inlineStr">
        <is>
          <t>Nucleo continuativo</t>
        </is>
      </c>
    </row>
    <row r="26">
      <c r="A26" s="40" t="inlineStr">
        <is>
          <t>P2.0W</t>
        </is>
      </c>
      <c r="B26" s="17" t="inlineStr">
        <is>
          <t>Workshop iniziale creazione contenuti</t>
        </is>
      </c>
      <c r="C26" s="17" t="inlineStr">
        <is>
          <t>Progetto una tantum</t>
        </is>
      </c>
      <c r="D26" s="41" t="inlineStr">
        <is>
          <t>€ 8.000-12.000</t>
        </is>
      </c>
      <c r="E26" s="17" t="inlineStr">
        <is>
          <t>Range · mid €10k</t>
        </is>
      </c>
    </row>
    <row r="27">
      <c r="A27" s="40" t="inlineStr">
        <is>
          <t>P2.0C</t>
        </is>
      </c>
      <c r="B27" s="17" t="inlineStr">
        <is>
          <t>Creazione contenuti continuativo</t>
        </is>
      </c>
      <c r="C27" s="17" t="inlineStr">
        <is>
          <t>Canone mensile</t>
        </is>
      </c>
      <c r="D27" s="41" t="inlineStr">
        <is>
          <t>€ 3.000/mese</t>
        </is>
      </c>
      <c r="E27" s="17" t="inlineStr">
        <is>
          <t>Copywriting incluso · PM incluso</t>
        </is>
      </c>
    </row>
    <row r="28">
      <c r="A28" s="40" t="inlineStr">
        <is>
          <t>P2.1</t>
        </is>
      </c>
      <c r="B28" s="17" t="inlineStr">
        <is>
          <t>PM &amp; Operations</t>
        </is>
      </c>
      <c r="C28" s="17" t="inlineStr">
        <is>
          <t>Default</t>
        </is>
      </c>
      <c r="D28" s="41" t="inlineStr">
        <is>
          <t>INCLUSO</t>
        </is>
      </c>
      <c r="E28" s="17" t="inlineStr">
        <is>
          <t>Compreso in P2.0C (~15h/mese)</t>
        </is>
      </c>
    </row>
    <row r="29">
      <c r="A29" s="39" t="inlineStr">
        <is>
          <t>Add-on continuativi</t>
        </is>
      </c>
    </row>
    <row r="30">
      <c r="A30" s="40" t="inlineStr">
        <is>
          <t>P2.A</t>
        </is>
      </c>
      <c r="B30" s="17" t="inlineStr">
        <is>
          <t>Gestione LinkedIn Academy (organic+paid)</t>
        </is>
      </c>
      <c r="C30" s="17" t="inlineStr">
        <is>
          <t>Canone mensile</t>
        </is>
      </c>
      <c r="D30" s="41" t="inlineStr">
        <is>
          <t>€ 4.500/mese</t>
        </is>
      </c>
      <c r="E30" s="17" t="inlineStr">
        <is>
          <t>Budget media a parte cliente</t>
        </is>
      </c>
    </row>
    <row r="31">
      <c r="A31" s="40" t="inlineStr">
        <is>
          <t>P2.BS</t>
        </is>
      </c>
      <c r="B31" s="17" t="inlineStr">
        <is>
          <t>Email marketing — Setup</t>
        </is>
      </c>
      <c r="C31" s="17" t="inlineStr">
        <is>
          <t>Una tantum</t>
        </is>
      </c>
      <c r="D31" s="41" t="inlineStr">
        <is>
          <t>€ 3.500</t>
        </is>
      </c>
      <c r="E31" s="17" t="inlineStr"/>
    </row>
    <row r="32">
      <c r="A32" s="40" t="inlineStr">
        <is>
          <t>P2.BC</t>
        </is>
      </c>
      <c r="B32" s="17" t="inlineStr">
        <is>
          <t>Email marketing — Continuativo</t>
        </is>
      </c>
      <c r="C32" s="17" t="inlineStr">
        <is>
          <t>Canone mensile</t>
        </is>
      </c>
      <c r="D32" s="41" t="inlineStr">
        <is>
          <t>€ 1.500/mese</t>
        </is>
      </c>
      <c r="E32" s="17" t="inlineStr"/>
    </row>
    <row r="33">
      <c r="A33" s="39" t="inlineStr">
        <is>
          <t>Su richiesta</t>
        </is>
      </c>
    </row>
    <row r="34">
      <c r="A34" s="40" t="inlineStr">
        <is>
          <t>P2.C1</t>
        </is>
      </c>
      <c r="B34" s="17" t="inlineStr">
        <is>
          <t>Integrazione CRM</t>
        </is>
      </c>
      <c r="C34" s="17" t="inlineStr">
        <is>
          <t>On-demand</t>
        </is>
      </c>
      <c r="D34" s="41" t="inlineStr">
        <is>
          <t>Su quotazione su richiesta</t>
        </is>
      </c>
      <c r="E34" s="17" t="inlineStr">
        <is>
          <t>Range tipico €10-15k</t>
        </is>
      </c>
    </row>
    <row r="35">
      <c r="A35" s="40" t="inlineStr">
        <is>
          <t>P2.C2</t>
        </is>
      </c>
      <c r="B35" s="17" t="inlineStr">
        <is>
          <t>Gateway pagamento corsi</t>
        </is>
      </c>
      <c r="C35" s="17" t="inlineStr">
        <is>
          <t>On-demand</t>
        </is>
      </c>
      <c r="D35" s="41" t="inlineStr">
        <is>
          <t>Su quotazione su richiesta</t>
        </is>
      </c>
      <c r="E35" s="17" t="inlineStr">
        <is>
          <t>Range tipico €8-12k</t>
        </is>
      </c>
    </row>
    <row r="37">
      <c r="A37" s="38" t="inlineStr">
        <is>
          <t>P3 — RETE ACCADEMICA &amp; FINANZA AGEVOLATA (FuturItaly)</t>
        </is>
      </c>
    </row>
    <row r="38" ht="32" customHeight="1">
      <c r="A38" s="7" t="inlineStr">
        <is>
          <t>Codice</t>
        </is>
      </c>
      <c r="B38" s="7" t="inlineStr">
        <is>
          <t>Voce</t>
        </is>
      </c>
      <c r="C38" s="7" t="inlineStr">
        <is>
          <t>Tipologia</t>
        </is>
      </c>
      <c r="D38" s="7" t="inlineStr">
        <is>
          <t>Prezzo proposto</t>
        </is>
      </c>
      <c r="E38" s="7" t="inlineStr">
        <is>
          <t>Note</t>
        </is>
      </c>
    </row>
    <row r="39">
      <c r="A39" s="40" t="inlineStr">
        <is>
          <t>P3.A</t>
        </is>
      </c>
      <c r="B39" s="17" t="inlineStr">
        <is>
          <t>Sviluppo contatti accademici — prima ondata</t>
        </is>
      </c>
      <c r="C39" s="17" t="inlineStr">
        <is>
          <t>On-demand</t>
        </is>
      </c>
      <c r="D39" s="42" t="inlineStr">
        <is>
          <t>TBD FuturItaly</t>
        </is>
      </c>
      <c r="E39" s="17" t="inlineStr">
        <is>
          <t>9 atenei IT/EU/UK · da quotare con Daniele/Elena</t>
        </is>
      </c>
    </row>
    <row r="40">
      <c r="A40" s="40" t="inlineStr">
        <is>
          <t>P3.B</t>
        </is>
      </c>
      <c r="B40" s="17" t="inlineStr">
        <is>
          <t>Sviluppo contatti accademici — seconda ondata</t>
        </is>
      </c>
      <c r="C40" s="17" t="inlineStr">
        <is>
          <t>On-demand</t>
        </is>
      </c>
      <c r="D40" s="42" t="inlineStr">
        <is>
          <t>TBD FuturItaly</t>
        </is>
      </c>
      <c r="E40" s="17" t="inlineStr">
        <is>
          <t>4 atenei USA/CN · post 12 mesi</t>
        </is>
      </c>
    </row>
    <row r="41">
      <c r="A41" s="40" t="inlineStr">
        <is>
          <t>P3.C</t>
        </is>
      </c>
      <c r="B41" s="17" t="inlineStr">
        <is>
          <t>Pre-screening + accompagnamento bandi UE</t>
        </is>
      </c>
      <c r="C41" s="17" t="inlineStr">
        <is>
          <t>On-demand</t>
        </is>
      </c>
      <c r="D41" s="42" t="inlineStr">
        <is>
          <t>TBD FuturItaly</t>
        </is>
      </c>
      <c r="E41" s="17" t="inlineStr">
        <is>
          <t>Per bando · 5 bandi mappati · fino 100% fondo perduto</t>
        </is>
      </c>
    </row>
    <row r="43">
      <c r="A43" s="38" t="inlineStr">
        <is>
          <t>P4 — KIT COMUNICAZIONE ESTERNA (opzionale)</t>
        </is>
      </c>
    </row>
    <row r="44" ht="32" customHeight="1">
      <c r="A44" s="7" t="inlineStr">
        <is>
          <t>Codice</t>
        </is>
      </c>
      <c r="B44" s="7" t="inlineStr">
        <is>
          <t>Voce</t>
        </is>
      </c>
      <c r="C44" s="7" t="inlineStr">
        <is>
          <t>Tipologia</t>
        </is>
      </c>
      <c r="D44" s="7" t="inlineStr">
        <is>
          <t>Prezzo proposto</t>
        </is>
      </c>
      <c r="E44" s="7" t="inlineStr">
        <is>
          <t>Note</t>
        </is>
      </c>
    </row>
    <row r="45">
      <c r="A45" s="40" t="inlineStr">
        <is>
          <t>P4.A</t>
        </is>
      </c>
      <c r="B45" s="17" t="inlineStr">
        <is>
          <t>Concept video promo Academy</t>
        </is>
      </c>
      <c r="C45" s="17" t="inlineStr">
        <is>
          <t>On-demand</t>
        </is>
      </c>
      <c r="D45" s="43" t="inlineStr">
        <is>
          <t>Su quotazione su richiesta</t>
        </is>
      </c>
      <c r="E45" s="17" t="inlineStr">
        <is>
          <t>Cliente forse ha fornitore</t>
        </is>
      </c>
    </row>
    <row r="46">
      <c r="A46" s="40" t="inlineStr">
        <is>
          <t>P4.B</t>
        </is>
      </c>
      <c r="B46" s="17" t="inlineStr">
        <is>
          <t>Concept design brochure</t>
        </is>
      </c>
      <c r="C46" s="17" t="inlineStr">
        <is>
          <t>On-demand</t>
        </is>
      </c>
      <c r="D46" s="43" t="inlineStr">
        <is>
          <t>Su quotazione su richiesta</t>
        </is>
      </c>
      <c r="E46" s="17" t="inlineStr">
        <is>
          <t>Cliente forse ha fornitore</t>
        </is>
      </c>
    </row>
    <row r="47">
      <c r="A47" s="40" t="inlineStr">
        <is>
          <t>P4.C</t>
        </is>
      </c>
      <c r="B47" s="17" t="inlineStr">
        <is>
          <t>Concept scouting gadget</t>
        </is>
      </c>
      <c r="C47" s="17" t="inlineStr">
        <is>
          <t>On-demand</t>
        </is>
      </c>
      <c r="D47" s="43" t="inlineStr">
        <is>
          <t>Su quotazione su richiesta</t>
        </is>
      </c>
      <c r="E47" s="17" t="inlineStr">
        <is>
          <t>Cliente forse ha fornitore</t>
        </is>
      </c>
    </row>
  </sheetData>
  <mergeCells count="5">
    <mergeCell ref="A29:E29"/>
    <mergeCell ref="A25:E25"/>
    <mergeCell ref="A33:E33"/>
    <mergeCell ref="A6:E6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0" customWidth="1" min="3" max="3"/>
    <col width="22" customWidth="1" min="4" max="4"/>
  </cols>
  <sheetData>
    <row r="1" ht="28" customHeight="1">
      <c r="A1" s="1" t="inlineStr">
        <is>
          <t>Bundle &amp; Sconti — logica commerciale</t>
        </is>
      </c>
    </row>
    <row r="2">
      <c r="A2" s="6" t="inlineStr">
        <is>
          <t>Tutti gli sconti modificabili in 07_Variables. Esempi di applicazione sotto.</t>
        </is>
      </c>
    </row>
    <row r="4">
      <c r="A4" s="38" t="inlineStr">
        <is>
          <t>BUNDLE SITO (P1.0 + P1.1)</t>
        </is>
      </c>
    </row>
    <row r="5" ht="32" customHeight="1">
      <c r="A5" s="7" t="inlineStr">
        <is>
          <t>Configurazione</t>
        </is>
      </c>
      <c r="B5" s="7" t="inlineStr">
        <is>
          <t>Calcolo</t>
        </is>
      </c>
      <c r="C5" s="7" t="inlineStr">
        <is>
          <t>Prezzo finale</t>
        </is>
      </c>
      <c r="D5" s="7" t="inlineStr">
        <is>
          <t>Risparmio</t>
        </is>
      </c>
    </row>
    <row r="6">
      <c r="A6" s="17" t="inlineStr">
        <is>
          <t>Solo P1.0</t>
        </is>
      </c>
      <c r="B6" s="44">
        <f>6000</f>
        <v/>
      </c>
      <c r="C6" s="45" t="n">
        <v>6000</v>
      </c>
      <c r="D6" s="24" t="inlineStr">
        <is>
          <t>—</t>
        </is>
      </c>
    </row>
    <row r="7">
      <c r="A7" s="17" t="inlineStr">
        <is>
          <t>Solo P1.1</t>
        </is>
      </c>
      <c r="B7" s="44">
        <f>28000</f>
        <v/>
      </c>
      <c r="C7" s="45" t="n">
        <v>28000</v>
      </c>
      <c r="D7" s="24" t="inlineStr">
        <is>
          <t>—</t>
        </is>
      </c>
    </row>
    <row r="8">
      <c r="A8" s="17" t="inlineStr">
        <is>
          <t>Bundle P1.0 + P1.1 firmati insieme</t>
        </is>
      </c>
      <c r="B8" s="44">
        <f>6000+28000*(1-'07_Variables'!$B$10)</f>
        <v/>
      </c>
      <c r="C8" s="45">
        <f>6000+28000*(1-'07_Variables'!$B$10)</f>
        <v/>
      </c>
      <c r="D8" s="24" t="inlineStr">
        <is>
          <t>Sconto −5% su F2</t>
        </is>
      </c>
    </row>
    <row r="9">
      <c r="A9" s="17" t="inlineStr">
        <is>
          <t>Bundle ecosistema completo (P1.0 + P1.1 + tutti 8 add-on)</t>
        </is>
      </c>
      <c r="B9" s="24" t="inlineStr">
        <is>
          <t>Vedi formula</t>
        </is>
      </c>
      <c r="C9" s="46" t="n"/>
      <c r="D9" s="24" t="inlineStr">
        <is>
          <t>Sconto −15% su add-on (riga seguente sotto)</t>
        </is>
      </c>
    </row>
    <row r="11">
      <c r="A11" s="38" t="inlineStr">
        <is>
          <t>BUNDLE COMPLETO 1+2+3 (sito + community)</t>
        </is>
      </c>
    </row>
    <row r="12" ht="32" customHeight="1">
      <c r="A12" s="7" t="inlineStr">
        <is>
          <t>Voce</t>
        </is>
      </c>
      <c r="B12" s="7" t="inlineStr">
        <is>
          <t>Prezzo base</t>
        </is>
      </c>
      <c r="C12" s="7" t="inlineStr">
        <is>
          <t>Sconto</t>
        </is>
      </c>
      <c r="D12" s="7" t="inlineStr">
        <is>
          <t>Prezzo finale</t>
        </is>
      </c>
    </row>
    <row r="13">
      <c r="A13" s="47" t="inlineStr">
        <is>
          <t>Fase 1 Riallineamento (P1.0)</t>
        </is>
      </c>
      <c r="B13" s="48" t="n">
        <v>6000</v>
      </c>
      <c r="C13" s="49" t="n">
        <v>0</v>
      </c>
      <c r="D13" s="50">
        <f>B13*(1-C13)</f>
        <v/>
      </c>
    </row>
    <row r="14">
      <c r="A14" s="47" t="inlineStr">
        <is>
          <t>Fase 2 Sito nuovo (P1.1) − 5% bundle 1+2</t>
        </is>
      </c>
      <c r="B14" s="48" t="n">
        <v>28000</v>
      </c>
      <c r="C14" s="51">
        <f>'07_Variables'!$B$10</f>
        <v/>
      </c>
      <c r="D14" s="50">
        <f>B14*(1-C14)</f>
        <v/>
      </c>
    </row>
    <row r="15">
      <c r="A15" s="47" t="inlineStr">
        <is>
          <t>Fase 3 Community (P1.D) − 10% bundle completo</t>
        </is>
      </c>
      <c r="B15" s="48" t="n">
        <v>20000</v>
      </c>
      <c r="C15" s="51">
        <f>'07_Variables'!$B$11</f>
        <v/>
      </c>
      <c r="D15" s="50">
        <f>B15*(1-C15)</f>
        <v/>
      </c>
    </row>
    <row r="16">
      <c r="A16" s="52" t="inlineStr">
        <is>
          <t>TOTALE Bundle Completo F1+F2+F3</t>
        </is>
      </c>
      <c r="B16" s="53">
        <f>SUM(B13:B15)</f>
        <v/>
      </c>
      <c r="C16" s="54" t="n"/>
      <c r="D16" s="55">
        <f>SUM(D13:D15)</f>
        <v/>
      </c>
    </row>
    <row r="17">
      <c r="A17" s="47" t="inlineStr">
        <is>
          <t>Risparmio vs fasi sciolte</t>
        </is>
      </c>
      <c r="B17" s="54" t="n"/>
      <c r="C17" s="54" t="n"/>
      <c r="D17" s="56">
        <f>B16-D16</f>
        <v/>
      </c>
    </row>
    <row r="19">
      <c r="A19" s="38" t="inlineStr">
        <is>
          <t>SCONTI VOLUME ADD-ON P1</t>
        </is>
      </c>
    </row>
    <row r="20" ht="32" customHeight="1">
      <c r="A20" s="7" t="inlineStr">
        <is>
          <t>N add-on</t>
        </is>
      </c>
      <c r="B20" s="7" t="inlineStr">
        <is>
          <t>Sconto applicato</t>
        </is>
      </c>
      <c r="C20" s="7" t="inlineStr">
        <is>
          <t>Esempio</t>
        </is>
      </c>
    </row>
    <row r="21">
      <c r="A21" s="47" t="n">
        <v>1</v>
      </c>
      <c r="B21" s="49" t="n">
        <v>0</v>
      </c>
      <c r="C21" s="32" t="inlineStr">
        <is>
          <t>Add-on a prezzo pieno</t>
        </is>
      </c>
    </row>
    <row r="22">
      <c r="A22" s="47" t="n">
        <v>2</v>
      </c>
      <c r="B22" s="49" t="n">
        <v>0</v>
      </c>
      <c r="C22" s="32" t="inlineStr">
        <is>
          <t>Add-on a prezzo pieno</t>
        </is>
      </c>
    </row>
    <row r="23">
      <c r="A23" s="47" t="n">
        <v>3</v>
      </c>
      <c r="B23" s="51">
        <f>'07_Variables'!$B$14</f>
        <v/>
      </c>
      <c r="C23" s="32" t="inlineStr">
        <is>
          <t>−5% su tutti gli add-on scelti</t>
        </is>
      </c>
    </row>
    <row r="24">
      <c r="A24" s="47" t="inlineStr">
        <is>
          <t>4+</t>
        </is>
      </c>
      <c r="B24" s="51">
        <f>'07_Variables'!$B$15</f>
        <v/>
      </c>
      <c r="C24" s="32" t="inlineStr">
        <is>
          <t>−10% su tutti gli add-on scelti</t>
        </is>
      </c>
    </row>
    <row r="25">
      <c r="A25" s="47" t="inlineStr">
        <is>
          <t>Tutti 8</t>
        </is>
      </c>
      <c r="B25" s="51">
        <f>'07_Variables'!$B$16</f>
        <v/>
      </c>
      <c r="C25" s="32" t="inlineStr">
        <is>
          <t>−15% bundle ecosistema completo</t>
        </is>
      </c>
    </row>
    <row r="27">
      <c r="A27" s="38" t="inlineStr">
        <is>
          <t>SCONTI LOCK-IN CONTINUATIVI P2</t>
        </is>
      </c>
    </row>
    <row r="28" ht="32" customHeight="1">
      <c r="A28" s="7" t="inlineStr">
        <is>
          <t>Durata impegno</t>
        </is>
      </c>
      <c r="B28" s="7" t="inlineStr">
        <is>
          <t>Sconto sul canone mensile</t>
        </is>
      </c>
      <c r="C28" s="7" t="inlineStr">
        <is>
          <t>Note</t>
        </is>
      </c>
    </row>
    <row r="29">
      <c r="A29" s="47" t="inlineStr">
        <is>
          <t>6 mesi (min raccomandato)</t>
        </is>
      </c>
      <c r="B29" s="49" t="n">
        <v>0</v>
      </c>
      <c r="C29" s="32" t="inlineStr">
        <is>
          <t>Nessuno sconto · ma vincolo minimo</t>
        </is>
      </c>
    </row>
    <row r="30">
      <c r="A30" s="47" t="inlineStr">
        <is>
          <t>12 mesi</t>
        </is>
      </c>
      <c r="B30" s="51">
        <f>'07_Variables'!$B$19</f>
        <v/>
      </c>
      <c r="C30" s="32" t="inlineStr">
        <is>
          <t>−5% su canone</t>
        </is>
      </c>
    </row>
    <row r="31">
      <c r="A31" s="47" t="inlineStr">
        <is>
          <t>24 mesi</t>
        </is>
      </c>
      <c r="B31" s="51">
        <f>'07_Variables'!$B$20</f>
        <v/>
      </c>
      <c r="C31" s="32" t="inlineStr">
        <is>
          <t>−10% su canone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Scenari di Vendita — 3 livelli + selector custom</t>
        </is>
      </c>
    </row>
    <row r="2">
      <c r="A2" s="6" t="inlineStr">
        <is>
          <t>3 scenari aggregati su 12 mesi. Per scenario custom: usa colonna 'Selezionato' nella tabella sotto.</t>
        </is>
      </c>
    </row>
    <row r="4" ht="32" customHeight="1">
      <c r="A4" s="7" t="inlineStr">
        <is>
          <t>Voce</t>
        </is>
      </c>
      <c r="B4" s="7" t="inlineStr">
        <is>
          <t>Prezzo unitario</t>
        </is>
      </c>
      <c r="C4" s="7" t="inlineStr">
        <is>
          <t>Entry</t>
        </is>
      </c>
      <c r="D4" s="7" t="inlineStr">
        <is>
          <t>Standard</t>
        </is>
      </c>
      <c r="E4" s="7" t="inlineStr">
        <is>
          <t>Premium</t>
        </is>
      </c>
      <c r="F4" s="7" t="inlineStr">
        <is>
          <t>Custom (Sì=1)</t>
        </is>
      </c>
    </row>
    <row r="5">
      <c r="A5" s="17" t="inlineStr">
        <is>
          <t>P1.0 — Riallineamento sito attuale</t>
        </is>
      </c>
      <c r="B5" s="57" t="n">
        <v>6000</v>
      </c>
      <c r="C5" s="58" t="n">
        <v>1</v>
      </c>
      <c r="D5" s="58" t="n">
        <v>1</v>
      </c>
      <c r="E5" s="58" t="n">
        <v>1</v>
      </c>
      <c r="F5" s="59" t="n">
        <v>1</v>
      </c>
    </row>
    <row r="6">
      <c r="A6" s="17" t="inlineStr">
        <is>
          <t>P1.1 — Sito nuovo pubblico (Fase 2)</t>
        </is>
      </c>
      <c r="B6" s="57" t="n">
        <v>28000</v>
      </c>
      <c r="C6" s="58" t="n">
        <v>0</v>
      </c>
      <c r="D6" s="58" t="n">
        <v>1</v>
      </c>
      <c r="E6" s="58" t="n">
        <v>1</v>
      </c>
      <c r="F6" s="59" t="n">
        <v>0</v>
      </c>
    </row>
    <row r="7">
      <c r="A7" s="17" t="inlineStr">
        <is>
          <t>P1.A — Studio strategico CJ</t>
        </is>
      </c>
      <c r="B7" s="57" t="n">
        <v>4000</v>
      </c>
      <c r="C7" s="58" t="n">
        <v>0</v>
      </c>
      <c r="D7" s="58" t="n">
        <v>1</v>
      </c>
      <c r="E7" s="58" t="n">
        <v>1</v>
      </c>
      <c r="F7" s="59" t="n">
        <v>0</v>
      </c>
    </row>
    <row r="8">
      <c r="A8" s="17" t="inlineStr">
        <is>
          <t>P1.B — 4 MVP Intelligenza Artificiale</t>
        </is>
      </c>
      <c r="B8" s="57" t="n">
        <v>29000</v>
      </c>
      <c r="C8" s="58" t="n">
        <v>0</v>
      </c>
      <c r="D8" s="58" t="n">
        <v>1</v>
      </c>
      <c r="E8" s="58" t="n">
        <v>1</v>
      </c>
      <c r="F8" s="59" t="n">
        <v>0</v>
      </c>
    </row>
    <row r="9">
      <c r="A9" s="17" t="inlineStr">
        <is>
          <t>P1.C.1 — Area Riservata Semplice</t>
        </is>
      </c>
      <c r="B9" s="57" t="n">
        <v>8000</v>
      </c>
      <c r="C9" s="58" t="n">
        <v>0</v>
      </c>
      <c r="D9" s="58" t="n">
        <v>0</v>
      </c>
      <c r="E9" s="58" t="n">
        <v>1</v>
      </c>
      <c r="F9" s="59" t="n">
        <v>0</v>
      </c>
    </row>
    <row r="10">
      <c r="A10" s="17" t="inlineStr">
        <is>
          <t>P1.C.2 — Area Riservata Avanzata (upgrade)</t>
        </is>
      </c>
      <c r="B10" s="57" t="n">
        <v>15000</v>
      </c>
      <c r="C10" s="58" t="n">
        <v>0</v>
      </c>
      <c r="D10" s="58" t="n">
        <v>0</v>
      </c>
      <c r="E10" s="58" t="n">
        <v>0</v>
      </c>
      <c r="F10" s="59" t="n">
        <v>0</v>
      </c>
    </row>
    <row r="11">
      <c r="A11" s="17" t="inlineStr">
        <is>
          <t>P1.D — Community Engaged Network</t>
        </is>
      </c>
      <c r="B11" s="57" t="n">
        <v>20000</v>
      </c>
      <c r="C11" s="58" t="n">
        <v>0</v>
      </c>
      <c r="D11" s="58" t="n">
        <v>0</v>
      </c>
      <c r="E11" s="58" t="n">
        <v>1</v>
      </c>
      <c r="F11" s="59" t="n">
        <v>0</v>
      </c>
    </row>
    <row r="12">
      <c r="A12" s="17" t="inlineStr">
        <is>
          <t>P1.E — Analytics + Dashboard</t>
        </is>
      </c>
      <c r="B12" s="57" t="n">
        <v>4500</v>
      </c>
      <c r="C12" s="58" t="n">
        <v>0</v>
      </c>
      <c r="D12" s="58" t="n">
        <v>0</v>
      </c>
      <c r="E12" s="58" t="n">
        <v>1</v>
      </c>
      <c r="F12" s="59" t="n">
        <v>0</v>
      </c>
    </row>
    <row r="13">
      <c r="A13" s="17" t="inlineStr">
        <is>
          <t>P1.F — Landing eventi pubblici (3 landing)</t>
        </is>
      </c>
      <c r="B13" s="57" t="n">
        <v>22500</v>
      </c>
      <c r="C13" s="58" t="n">
        <v>0</v>
      </c>
      <c r="D13" s="58" t="n">
        <v>0</v>
      </c>
      <c r="E13" s="58" t="n">
        <v>1</v>
      </c>
      <c r="F13" s="59" t="n">
        <v>0</v>
      </c>
    </row>
    <row r="14">
      <c r="A14" s="17" t="inlineStr">
        <is>
          <t>P1.G — Landing eventi interni (3 landing)</t>
        </is>
      </c>
      <c r="B14" s="57" t="n">
        <v>22500</v>
      </c>
      <c r="C14" s="58" t="n">
        <v>0</v>
      </c>
      <c r="D14" s="58" t="n">
        <v>0</v>
      </c>
      <c r="E14" s="58" t="n">
        <v>0</v>
      </c>
      <c r="F14" s="59" t="n">
        <v>0</v>
      </c>
    </row>
    <row r="15">
      <c r="A15" s="17" t="inlineStr">
        <is>
          <t>P1.H — SEO avanzata</t>
        </is>
      </c>
      <c r="B15" s="57" t="n">
        <v>5000</v>
      </c>
      <c r="C15" s="58" t="n">
        <v>0</v>
      </c>
      <c r="D15" s="58" t="n">
        <v>0</v>
      </c>
      <c r="E15" s="58" t="n">
        <v>1</v>
      </c>
      <c r="F15" s="59" t="n">
        <v>0</v>
      </c>
    </row>
    <row r="16">
      <c r="A16" s="17" t="inlineStr">
        <is>
          <t>P1.I — Accessibility WCAG/EAA</t>
        </is>
      </c>
      <c r="B16" s="57" t="n">
        <v>3500</v>
      </c>
      <c r="C16" s="58" t="n">
        <v>0</v>
      </c>
      <c r="D16" s="58" t="n">
        <v>0</v>
      </c>
      <c r="E16" s="58" t="n">
        <v>1</v>
      </c>
      <c r="F16" s="59" t="n">
        <v>0</v>
      </c>
    </row>
    <row r="17">
      <c r="A17" s="17" t="inlineStr">
        <is>
          <t>P1.J — Analytics setup GA4+Plausible</t>
        </is>
      </c>
      <c r="B17" s="57" t="n">
        <v>3000</v>
      </c>
      <c r="C17" s="58" t="n">
        <v>0</v>
      </c>
      <c r="D17" s="58" t="n">
        <v>0</v>
      </c>
      <c r="E17" s="58" t="n">
        <v>0</v>
      </c>
      <c r="F17" s="59" t="n">
        <v>0</v>
      </c>
    </row>
    <row r="18">
      <c r="A18" s="17" t="inlineStr">
        <is>
          <t>P1.K — Integrazione email marketing</t>
        </is>
      </c>
      <c r="B18" s="57" t="n">
        <v>2500</v>
      </c>
      <c r="C18" s="58" t="n">
        <v>0</v>
      </c>
      <c r="D18" s="58" t="n">
        <v>0</v>
      </c>
      <c r="E18" s="58" t="n">
        <v>0</v>
      </c>
      <c r="F18" s="59" t="n">
        <v>0</v>
      </c>
    </row>
    <row r="19">
      <c r="A19" s="17" t="inlineStr">
        <is>
          <t>P2.0W — Workshop iniziale contenuti</t>
        </is>
      </c>
      <c r="B19" s="57" t="n">
        <v>10000</v>
      </c>
      <c r="C19" s="58" t="n">
        <v>0</v>
      </c>
      <c r="D19" s="58" t="n">
        <v>1</v>
      </c>
      <c r="E19" s="58" t="n">
        <v>1</v>
      </c>
      <c r="F19" s="59" t="n">
        <v>0</v>
      </c>
    </row>
    <row r="20">
      <c r="A20" s="17" t="inlineStr">
        <is>
          <t>P2.0C×12 — Continuativo contenuti 12 mesi</t>
        </is>
      </c>
      <c r="B20" s="57" t="n">
        <v>36000</v>
      </c>
      <c r="C20" s="58" t="n">
        <v>0</v>
      </c>
      <c r="D20" s="58" t="n">
        <v>1</v>
      </c>
      <c r="E20" s="58" t="n">
        <v>1</v>
      </c>
      <c r="F20" s="59" t="n">
        <v>1</v>
      </c>
    </row>
    <row r="21">
      <c r="A21" s="17" t="inlineStr">
        <is>
          <t>P2.A×12 — LinkedIn 12 mesi</t>
        </is>
      </c>
      <c r="B21" s="57" t="n">
        <v>54000</v>
      </c>
      <c r="C21" s="58" t="n">
        <v>0</v>
      </c>
      <c r="D21" s="58" t="n">
        <v>1</v>
      </c>
      <c r="E21" s="58" t="n">
        <v>1</v>
      </c>
      <c r="F21" s="59" t="n">
        <v>1</v>
      </c>
    </row>
    <row r="22">
      <c r="A22" s="17" t="inlineStr">
        <is>
          <t>P2.BS — Email marketing setup</t>
        </is>
      </c>
      <c r="B22" s="57" t="n">
        <v>3500</v>
      </c>
      <c r="C22" s="58" t="n">
        <v>0</v>
      </c>
      <c r="D22" s="58" t="n">
        <v>0</v>
      </c>
      <c r="E22" s="58" t="n">
        <v>1</v>
      </c>
      <c r="F22" s="59" t="n">
        <v>0</v>
      </c>
    </row>
    <row r="23">
      <c r="A23" s="17" t="inlineStr">
        <is>
          <t>P2.BC×12 — Email marketing 12 mesi</t>
        </is>
      </c>
      <c r="B23" s="57" t="n">
        <v>18000</v>
      </c>
      <c r="C23" s="58" t="n">
        <v>0</v>
      </c>
      <c r="D23" s="58" t="n">
        <v>0</v>
      </c>
      <c r="E23" s="58" t="n">
        <v>1</v>
      </c>
      <c r="F23" s="59" t="n">
        <v>0</v>
      </c>
    </row>
    <row r="24">
      <c r="A24" s="52" t="inlineStr">
        <is>
          <t>SUBTOTALE HeyAI</t>
        </is>
      </c>
      <c r="B24" s="54" t="n"/>
      <c r="C24" s="60">
        <f>SUMPRODUCT($B$5:$B$23,C5:C23)</f>
        <v/>
      </c>
      <c r="D24" s="60">
        <f>SUMPRODUCT($B$5:$B$23,D5:D23)</f>
        <v/>
      </c>
      <c r="E24" s="60">
        <f>SUMPRODUCT($B$5:$B$23,E5:E23)</f>
        <v/>
      </c>
      <c r="F24" s="60">
        <f>SUMPRODUCT($B$5:$B$23,F5:F23)</f>
        <v/>
      </c>
    </row>
    <row r="25">
      <c r="A25" s="47" t="inlineStr">
        <is>
          <t>Sconto bundle 1+2 (se entrambi)</t>
        </is>
      </c>
      <c r="B25" s="54" t="n"/>
      <c r="C25" s="61">
        <f>IF(AND(C5=1,C6=1),-28000*'07_Variables'!$B$10,0)</f>
        <v/>
      </c>
      <c r="D25" s="61">
        <f>IF(AND(D5=1,D6=1),-28000*'07_Variables'!$B$10,0)</f>
        <v/>
      </c>
      <c r="E25" s="61">
        <f>IF(AND(E5=1,E6=1),-28000*'07_Variables'!$B$10,0)</f>
        <v/>
      </c>
      <c r="F25" s="61">
        <f>IF(AND(F5=1,F6=1),-28000*'07_Variables'!$B$10,0)</f>
        <v/>
      </c>
    </row>
    <row r="26">
      <c r="A26" s="47" t="inlineStr">
        <is>
          <t>Sconto bundle 1+2+3 (se F3 incluso)</t>
        </is>
      </c>
      <c r="B26" s="54" t="n"/>
      <c r="C26" s="61">
        <f>IF(AND(C5=1,C6=1,C11=1),-20000*'07_Variables'!$B$11,0)</f>
        <v/>
      </c>
      <c r="D26" s="61">
        <f>IF(AND(D5=1,D6=1,D11=1),-20000*'07_Variables'!$B$11,0)</f>
        <v/>
      </c>
      <c r="E26" s="61">
        <f>IF(AND(E5=1,E6=1,E11=1),-20000*'07_Variables'!$B$11,0)</f>
        <v/>
      </c>
      <c r="F26" s="61">
        <f>IF(AND(F5=1,F6=1,F11=1),-20000*'07_Variables'!$B$11,0)</f>
        <v/>
      </c>
    </row>
    <row r="27">
      <c r="A27" s="62" t="inlineStr">
        <is>
          <t>🎯 TOTALE Scenario (HeyAI puro, 12 mesi)</t>
        </is>
      </c>
      <c r="B27" s="54" t="n"/>
      <c r="C27" s="63">
        <f>SUM(C24:C26)</f>
        <v/>
      </c>
      <c r="D27" s="63">
        <f>SUM(D24:D26)</f>
        <v/>
      </c>
      <c r="E27" s="63">
        <f>SUM(E24:E26)</f>
        <v/>
      </c>
      <c r="F27" s="63">
        <f>SUM(F24:F26)</f>
        <v/>
      </c>
    </row>
    <row r="28">
      <c r="A28" s="64" t="inlineStr">
        <is>
          <t>+ FuturItaly P3 (rete + bandi)</t>
        </is>
      </c>
      <c r="B28" s="6" t="inlineStr">
        <is>
          <t>TBD</t>
        </is>
      </c>
      <c r="C28" s="65" t="inlineStr">
        <is>
          <t>TBD</t>
        </is>
      </c>
      <c r="D28" s="65" t="inlineStr">
        <is>
          <t>TBD</t>
        </is>
      </c>
      <c r="E28" s="65" t="inlineStr">
        <is>
          <t>TBD</t>
        </is>
      </c>
      <c r="F28" s="65" t="inlineStr">
        <is>
          <t>TBD</t>
        </is>
      </c>
    </row>
    <row r="29">
      <c r="A29" s="64" t="inlineStr">
        <is>
          <t>+ Kit comunicazione esterna P4 (su richiesta)</t>
        </is>
      </c>
      <c r="C29" s="65" t="inlineStr">
        <is>
          <t>—</t>
        </is>
      </c>
      <c r="D29" s="65" t="inlineStr">
        <is>
          <t>—</t>
        </is>
      </c>
      <c r="E29" s="65" t="inlineStr">
        <is>
          <t>—</t>
        </is>
      </c>
      <c r="F29" s="65" t="inlineStr">
        <is>
          <t>—</t>
        </is>
      </c>
    </row>
    <row r="31">
      <c r="A31" s="38" t="inlineStr">
        <is>
          <t>DESCRIZIONE SCENARI</t>
        </is>
      </c>
    </row>
    <row r="32">
      <c r="A32" s="66" t="inlineStr">
        <is>
          <t>ENTRY</t>
        </is>
      </c>
      <c r="B32" s="12" t="inlineStr">
        <is>
          <t>P1.0 Riallineamento + P2.0C continuativo 12m + P2.A LinkedIn 12m. Cliente che vuole minimo intervento per restare allineato al brief. ~€96-100k anno 1.</t>
        </is>
      </c>
      <c r="C32" s="54" t="n"/>
      <c r="D32" s="54" t="n"/>
      <c r="E32" s="54" t="n"/>
      <c r="F32" s="54" t="n"/>
    </row>
    <row r="33">
      <c r="A33" s="66" t="inlineStr">
        <is>
          <t>STANDARD</t>
        </is>
      </c>
      <c r="B33" s="12" t="inlineStr">
        <is>
          <t>Bundle 1+2 (sito riallineato + nuovo) + P1.A studio CJ + P1.B AI MVP + P2.0W workshop + continuativi 12m. Cliente che vuole il sito nuovo + ecosistema base.</t>
        </is>
      </c>
      <c r="C33" s="54" t="n"/>
      <c r="D33" s="54" t="n"/>
      <c r="E33" s="54" t="n"/>
      <c r="F33" s="54" t="n"/>
    </row>
    <row r="34">
      <c r="A34" s="66" t="inlineStr">
        <is>
          <t>PREMIUM</t>
        </is>
      </c>
      <c r="B34" s="12" t="inlineStr">
        <is>
          <t>Tutto STANDARD + P1.C.1 area riservata + P1.D community + P1.E analytics + P1.F landing pubbliche + P1.H SEO + P1.I accessibility + P2.BS email setup + P2.BC continuativo. Cliente che sceglie ecosistema completo.</t>
        </is>
      </c>
      <c r="C34" s="54" t="n"/>
      <c r="D34" s="54" t="n"/>
      <c r="E34" s="54" t="n"/>
      <c r="F34" s="54" t="n"/>
    </row>
    <row r="35">
      <c r="A35" s="66" t="inlineStr">
        <is>
          <t>CUSTOM</t>
        </is>
      </c>
      <c r="B35" s="12" t="inlineStr">
        <is>
          <t>Compila la colonna F con 1/0 per le voci che vuoi includere. Totale Custom si aggiorna automaticamente.</t>
        </is>
      </c>
      <c r="C35" s="54" t="n"/>
      <c r="D35" s="54" t="n"/>
      <c r="E35" s="54" t="n"/>
      <c r="F35" s="54" t="n"/>
    </row>
  </sheetData>
  <mergeCells count="4">
    <mergeCell ref="B32:F32"/>
    <mergeCell ref="B34:F34"/>
    <mergeCell ref="B33:F33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2" customWidth="1" min="3" max="3"/>
    <col width="42" customWidth="1" min="4" max="4"/>
  </cols>
  <sheetData>
    <row r="1" ht="28" customHeight="1">
      <c r="A1" s="1" t="inlineStr">
        <is>
          <t>Call Elena FuturItaly — agenda + assumptions + gap</t>
        </is>
      </c>
    </row>
    <row r="3">
      <c r="A3" s="67" t="inlineStr">
        <is>
          <t>Scopo della call:</t>
        </is>
      </c>
      <c r="B3" s="3" t="inlineStr">
        <is>
          <t>Allineare gli economics congiunti HeyAI + FuturItaly · raccogliere prezzi P3 · validare case history FuturItaly · confermare governance e fatturazione</t>
        </is>
      </c>
    </row>
    <row r="5">
      <c r="A5" s="38" t="inlineStr">
        <is>
          <t>AGENDA CALL (30-45 min)</t>
        </is>
      </c>
    </row>
    <row r="6">
      <c r="A6" s="68" t="inlineStr">
        <is>
          <t>1.</t>
        </is>
      </c>
      <c r="B6" s="12" t="inlineStr">
        <is>
          <t>Briefing reciproco stato pitch Angelini (5 min)</t>
        </is>
      </c>
      <c r="C6" s="69" t="inlineStr">
        <is>
          <t>Allineamento veloce su tutto quello che abbiamo costruito</t>
        </is>
      </c>
      <c r="D6" s="54" t="n"/>
    </row>
    <row r="7">
      <c r="A7" s="68" t="inlineStr">
        <is>
          <t>2.</t>
        </is>
      </c>
      <c r="B7" s="12" t="inlineStr">
        <is>
          <t>Conferma case history FuturItaly per S24 (5 min)</t>
        </is>
      </c>
      <c r="C7" s="69" t="inlineStr">
        <is>
          <t>Quale case usiamo · scope · metric · materiali grafici disponibili</t>
        </is>
      </c>
      <c r="D7" s="54" t="n"/>
    </row>
    <row r="8">
      <c r="A8" s="68" t="inlineStr">
        <is>
          <t>3.</t>
        </is>
      </c>
      <c r="B8" s="12" t="inlineStr">
        <is>
          <t>Quotazione P3.A — Sviluppo contatti accademici prima ondata (10 min)</t>
        </is>
      </c>
      <c r="C8" s="69" t="inlineStr">
        <is>
          <t>9 atenei IT/EU/UK · effort FuturItaly · prezzo cliente</t>
        </is>
      </c>
      <c r="D8" s="54" t="n"/>
    </row>
    <row r="9">
      <c r="A9" s="68" t="inlineStr">
        <is>
          <t>4.</t>
        </is>
      </c>
      <c r="B9" s="12" t="inlineStr">
        <is>
          <t>Quotazione P3.B — Sviluppo contatti seconda ondata (5 min)</t>
        </is>
      </c>
      <c r="C9" s="69" t="inlineStr">
        <is>
          <t>4 atenei USA/CN · effort + prezzo</t>
        </is>
      </c>
      <c r="D9" s="54" t="n"/>
    </row>
    <row r="10">
      <c r="A10" s="68" t="inlineStr">
        <is>
          <t>5.</t>
        </is>
      </c>
      <c r="B10" s="12" t="inlineStr">
        <is>
          <t>Quotazione P3.C — Bandi UE accompagnamento (5 min)</t>
        </is>
      </c>
      <c r="C10" s="69" t="inlineStr">
        <is>
          <t>Per bando · accompagnamento + success fee?</t>
        </is>
      </c>
      <c r="D10" s="54" t="n"/>
    </row>
    <row r="11">
      <c r="A11" s="68" t="inlineStr">
        <is>
          <t>6.</t>
        </is>
      </c>
      <c r="B11" s="12" t="inlineStr">
        <is>
          <t>Governance fatturazione (5 min)</t>
        </is>
      </c>
      <c r="C11" s="69" t="inlineStr">
        <is>
          <t>Fatturazione separata HeyAI ↔ FuturItaly verso cliente o unica?</t>
        </is>
      </c>
      <c r="D11" s="54" t="n"/>
    </row>
    <row r="12">
      <c r="A12" s="68" t="inlineStr">
        <is>
          <t>7.</t>
        </is>
      </c>
      <c r="B12" s="12" t="inlineStr">
        <is>
          <t>Markup FuturItaly su servizi congiunti P2.0 (5 min)</t>
        </is>
      </c>
      <c r="C12" s="69" t="inlineStr">
        <is>
          <t>Conferma +15% markup su loro effort dentro P2.0 continuativo</t>
        </is>
      </c>
      <c r="D12" s="54" t="n"/>
    </row>
    <row r="13">
      <c r="A13" s="68" t="inlineStr">
        <is>
          <t>8.</t>
        </is>
      </c>
      <c r="B13" s="12" t="inlineStr">
        <is>
          <t>Sintesi e prossimi step (3-5 min)</t>
        </is>
      </c>
      <c r="C13" s="69" t="inlineStr">
        <is>
          <t>Cosa serve da entrambi entro 28/5 per pitch 31/5-3/6</t>
        </is>
      </c>
      <c r="D13" s="54" t="n"/>
    </row>
    <row r="15">
      <c r="A15" s="38" t="inlineStr">
        <is>
          <t>VOCI P3 DA QUOTARE CON FUTURITALY</t>
        </is>
      </c>
    </row>
    <row r="16" ht="32" customHeight="1">
      <c r="A16" s="7" t="inlineStr">
        <is>
          <t>Codice</t>
        </is>
      </c>
      <c r="B16" s="7" t="inlineStr">
        <is>
          <t>Voce</t>
        </is>
      </c>
      <c r="C16" s="7" t="inlineStr">
        <is>
          <t>Assumption iniziale HeyAI</t>
        </is>
      </c>
      <c r="D16" s="7" t="inlineStr">
        <is>
          <t>Da confermare con Elena</t>
        </is>
      </c>
    </row>
    <row r="17">
      <c r="A17" s="11" t="inlineStr">
        <is>
          <t>P3.A</t>
        </is>
      </c>
      <c r="B17" s="12" t="inlineStr">
        <is>
          <t>Sviluppo rete prima ondata (9 atenei IT/EU/UK)</t>
        </is>
      </c>
      <c r="C17" s="70" t="inlineStr">
        <is>
          <t>Effort ~20-30 g FuturItaly su 6-12 mesi · prezzo cliente €12-18k stimato</t>
        </is>
      </c>
      <c r="D17" s="69" t="inlineStr">
        <is>
          <t>Effort reale · success fee per partnership attivata? · prezzo finale</t>
        </is>
      </c>
    </row>
    <row r="18">
      <c r="A18" s="11" t="inlineStr">
        <is>
          <t>P3.B</t>
        </is>
      </c>
      <c r="B18" s="12" t="inlineStr">
        <is>
          <t>Sviluppo rete seconda ondata (4 atenei USA/CN)</t>
        </is>
      </c>
      <c r="C18" s="70" t="inlineStr">
        <is>
          <t>Effort ~10-15 g FuturItaly · prezzo cliente €8-12k stimato</t>
        </is>
      </c>
      <c r="D18" s="69" t="inlineStr">
        <is>
          <t>Stesso schema · attivazione differita 12 mesi</t>
        </is>
      </c>
    </row>
    <row r="19">
      <c r="A19" s="11" t="inlineStr">
        <is>
          <t>P3.C</t>
        </is>
      </c>
      <c r="B19" s="12" t="inlineStr">
        <is>
          <t>Accompagnamento candidatura bando UE (per bando)</t>
        </is>
      </c>
      <c r="C19" s="70" t="inlineStr">
        <is>
          <t>Effort ~5-10 g FuturItaly per bando · prezzo cliente €4-8k per bando + eventuale success fee</t>
        </is>
      </c>
      <c r="D19" s="69" t="inlineStr">
        <is>
          <t>Per bando o pacchetto multi-bandi? · success fee % su sovvenzione ottenuta?</t>
        </is>
      </c>
    </row>
    <row r="20">
      <c r="A20" s="11" t="inlineStr">
        <is>
          <t>Coordinamento Cattedra LUISS</t>
        </is>
      </c>
      <c r="B20" s="12" t="inlineStr">
        <is>
          <t>Continuativo · ricercatori partner</t>
        </is>
      </c>
      <c r="C20" s="70" t="inlineStr">
        <is>
          <t>Effort ~3-5 g FuturItaly/mese (Elena) · dentro P2.0C continuativo o separato?</t>
        </is>
      </c>
      <c r="D20" s="69" t="inlineStr">
        <is>
          <t>Decidere se è dentro P2.0C o canone separato FuturItaly</t>
        </is>
      </c>
    </row>
    <row r="22">
      <c r="A22" s="38" t="inlineStr">
        <is>
          <t>DOMANDE APERTE PER ELENA</t>
        </is>
      </c>
    </row>
    <row r="23">
      <c r="A23" s="68" t="inlineStr">
        <is>
          <t>Q1</t>
        </is>
      </c>
      <c r="B23" s="12" t="inlineStr">
        <is>
          <t>Markup FuturItaly sopra costo base: confermi +15% su cliente?</t>
        </is>
      </c>
      <c r="C23" s="54" t="n"/>
      <c r="D23" s="54" t="n"/>
    </row>
    <row r="24">
      <c r="A24" s="68" t="inlineStr">
        <is>
          <t>Q2</t>
        </is>
      </c>
      <c r="B24" s="12" t="inlineStr">
        <is>
          <t>Tariffa giornaliera base FuturItaly: €800/giorno è realistico (assumption nostra) o diversa?</t>
        </is>
      </c>
      <c r="C24" s="54" t="n"/>
      <c r="D24" s="54" t="n"/>
    </row>
    <row r="25">
      <c r="A25" s="68" t="inlineStr">
        <is>
          <t>Q3</t>
        </is>
      </c>
      <c r="B25" s="12" t="inlineStr">
        <is>
          <t>Case history FuturItaly per S24 del pitch: quale proponi? Stato pre-screening + materiali disponibili?</t>
        </is>
      </c>
      <c r="C25" s="54" t="n"/>
      <c r="D25" s="54" t="n"/>
    </row>
    <row r="26">
      <c r="A26" s="68" t="inlineStr">
        <is>
          <t>Q4</t>
        </is>
      </c>
      <c r="B26" s="12" t="inlineStr">
        <is>
          <t>Bandi UE: success fee oltre fee di accompagnamento? Range tipico se sì?</t>
        </is>
      </c>
      <c r="C26" s="54" t="n"/>
      <c r="D26" s="54" t="n"/>
    </row>
    <row r="27">
      <c r="A27" s="68" t="inlineStr">
        <is>
          <t>Q5</t>
        </is>
      </c>
      <c r="B27" s="12" t="inlineStr">
        <is>
          <t>Coordinamento mensile Cattedra LUISS: dentro P2.0C o canone separato? Effort tuo realistico?</t>
        </is>
      </c>
      <c r="C27" s="54" t="n"/>
      <c r="D27" s="54" t="n"/>
    </row>
    <row r="28">
      <c r="A28" s="68" t="inlineStr">
        <is>
          <t>Q6</t>
        </is>
      </c>
      <c r="B28" s="12" t="inlineStr">
        <is>
          <t>Fatturazione: HeyAI fa fattura unica al cliente girando una quota a FuturItaly, o fatture separate FuturItaly diretto al cliente?</t>
        </is>
      </c>
      <c r="C28" s="54" t="n"/>
      <c r="D28" s="54" t="n"/>
    </row>
    <row r="29">
      <c r="A29" s="68" t="inlineStr">
        <is>
          <t>Q7</t>
        </is>
      </c>
      <c r="B29" s="12" t="inlineStr">
        <is>
          <t>Stato relazione con i 9 atenei prima ondata: già pre-contatti o partiamo da zero?</t>
        </is>
      </c>
      <c r="C29" s="54" t="n"/>
      <c r="D29" s="54" t="n"/>
    </row>
    <row r="30">
      <c r="A30" s="68" t="inlineStr">
        <is>
          <t>Q8</t>
        </is>
      </c>
      <c r="B30" s="12" t="inlineStr">
        <is>
          <t>Tempistiche realistiche P3.A: 6 mesi o 12 mesi per le 9 partnership? E quante realisticamente si attivano?</t>
        </is>
      </c>
      <c r="C30" s="54" t="n"/>
      <c r="D30" s="54" t="n"/>
    </row>
    <row r="31">
      <c r="A31" s="68" t="inlineStr">
        <is>
          <t>Q9</t>
        </is>
      </c>
      <c r="B31" s="12" t="inlineStr">
        <is>
          <t>Brand FuturItaly nel pitch: in che misura vuoi presenza visibile o restare partner sotto-traccia?</t>
        </is>
      </c>
      <c r="C31" s="54" t="n"/>
      <c r="D31" s="54" t="n"/>
    </row>
    <row r="32">
      <c r="A32" s="68" t="inlineStr">
        <is>
          <t>Q10</t>
        </is>
      </c>
      <c r="B32" s="12" t="inlineStr">
        <is>
          <t>Conflict / esclusiva: ci sono altri clienti FuturItaly nel corporate learning che potrebbero generare conflict?</t>
        </is>
      </c>
      <c r="C32" s="54" t="n"/>
      <c r="D32" s="54" t="n"/>
    </row>
    <row r="34">
      <c r="A34" s="38" t="inlineStr">
        <is>
          <t>ASSUMPTIONS NOSTRE DA VALIDARE</t>
        </is>
      </c>
    </row>
    <row r="35" ht="32" customHeight="1">
      <c r="A35" s="7" t="inlineStr">
        <is>
          <t>Assumption</t>
        </is>
      </c>
      <c r="B35" s="7" t="inlineStr">
        <is>
          <t>Valore stimato HeyAI</t>
        </is>
      </c>
      <c r="C35" s="7" t="inlineStr">
        <is>
          <t>Stato</t>
        </is>
      </c>
    </row>
    <row r="36">
      <c r="A36" s="47" t="inlineStr">
        <is>
          <t>Tariffa giornaliera FuturItaly base</t>
        </is>
      </c>
      <c r="B36" s="71" t="inlineStr">
        <is>
          <t>€ 800/giorno</t>
        </is>
      </c>
      <c r="C36" s="32" t="inlineStr">
        <is>
          <t>Da confermare</t>
        </is>
      </c>
    </row>
    <row r="37">
      <c r="A37" s="47" t="inlineStr">
        <is>
          <t>Markup FuturItaly su cliente</t>
        </is>
      </c>
      <c r="B37" s="71" t="inlineStr">
        <is>
          <t>+15%</t>
        </is>
      </c>
      <c r="C37" s="32" t="inlineStr">
        <is>
          <t>Da confermare</t>
        </is>
      </c>
    </row>
    <row r="38">
      <c r="A38" s="47" t="inlineStr">
        <is>
          <t>Tariffa cliente FuturItaly</t>
        </is>
      </c>
      <c r="B38" s="71" t="inlineStr">
        <is>
          <t>€ 920/giorno</t>
        </is>
      </c>
      <c r="C38" s="32" t="inlineStr">
        <is>
          <t>Calcolata</t>
        </is>
      </c>
    </row>
    <row r="39">
      <c r="A39" s="47" t="inlineStr">
        <is>
          <t>Effort Elena dentro P2.0C continuativo</t>
        </is>
      </c>
      <c r="B39" s="71" t="inlineStr">
        <is>
          <t>~5-8 g/mese</t>
        </is>
      </c>
      <c r="C39" s="32" t="inlineStr">
        <is>
          <t>Da confermare con realtà delivery</t>
        </is>
      </c>
    </row>
    <row r="40">
      <c r="A40" s="47" t="inlineStr">
        <is>
          <t>Effort Daniele dentro P2.0C continuativo</t>
        </is>
      </c>
      <c r="B40" s="71" t="inlineStr">
        <is>
          <t>~2-3 g/mese</t>
        </is>
      </c>
      <c r="C40" s="32" t="inlineStr">
        <is>
          <t>Da confermare</t>
        </is>
      </c>
    </row>
    <row r="41">
      <c r="A41" s="47" t="inlineStr">
        <is>
          <t>Tempistiche P3.A (9 atenei IT/EU/UK)</t>
        </is>
      </c>
      <c r="B41" s="71" t="inlineStr">
        <is>
          <t>6-12 mesi</t>
        </is>
      </c>
      <c r="C41" s="32" t="inlineStr">
        <is>
          <t>Da confermare</t>
        </is>
      </c>
    </row>
    <row r="42">
      <c r="A42" s="47" t="inlineStr">
        <is>
          <t>Tempistiche P3.B (4 atenei USA/CN)</t>
        </is>
      </c>
      <c r="B42" s="71" t="inlineStr">
        <is>
          <t>Post 12 mesi</t>
        </is>
      </c>
      <c r="C42" s="32" t="inlineStr">
        <is>
          <t>Da confermare</t>
        </is>
      </c>
    </row>
    <row r="43">
      <c r="A43" s="47" t="inlineStr">
        <is>
          <t>Success rate atteso prima ondata</t>
        </is>
      </c>
      <c r="B43" s="71" t="inlineStr">
        <is>
          <t>3-5 partnership su 9 contattati</t>
        </is>
      </c>
      <c r="C43" s="32" t="inlineStr">
        <is>
          <t>Da confermare</t>
        </is>
      </c>
    </row>
    <row r="45">
      <c r="A45" s="38" t="inlineStr">
        <is>
          <t>DECISIONI DA PRENDERE INSIEME</t>
        </is>
      </c>
    </row>
    <row r="46">
      <c r="A46" s="72" t="inlineStr">
        <is>
          <t>D1</t>
        </is>
      </c>
      <c r="B46" s="73" t="inlineStr">
        <is>
          <t>Modello fatturazione HeyAI ↔ FuturItaly ↔ Cliente</t>
        </is>
      </c>
      <c r="C46" s="54" t="n"/>
      <c r="D46" s="54" t="n"/>
    </row>
    <row r="47">
      <c r="A47" s="72" t="inlineStr">
        <is>
          <t>D2</t>
        </is>
      </c>
      <c r="B47" s="73" t="inlineStr">
        <is>
          <t>Brand visibility FuturItaly nel pitch (logo? menzioni? attribuzioni?)</t>
        </is>
      </c>
      <c r="C47" s="54" t="n"/>
      <c r="D47" s="54" t="n"/>
    </row>
    <row r="48">
      <c r="A48" s="72" t="inlineStr">
        <is>
          <t>D3</t>
        </is>
      </c>
      <c r="B48" s="73" t="inlineStr">
        <is>
          <t>Voce della comunicazione: HeyAI parla per entrambi o ci alterniamo?</t>
        </is>
      </c>
      <c r="C48" s="54" t="n"/>
      <c r="D48" s="54" t="n"/>
    </row>
    <row r="49">
      <c r="A49" s="72" t="inlineStr">
        <is>
          <t>D4</t>
        </is>
      </c>
      <c r="B49" s="73" t="inlineStr">
        <is>
          <t>Case history specifico FuturItaly per S24 pitch</t>
        </is>
      </c>
      <c r="C49" s="54" t="n"/>
      <c r="D49" s="54" t="n"/>
    </row>
    <row r="50">
      <c r="A50" s="72" t="inlineStr">
        <is>
          <t>D5</t>
        </is>
      </c>
      <c r="B50" s="73" t="inlineStr">
        <is>
          <t>Tempistiche e tariffe definitive P3 da inserire in proposta v2</t>
        </is>
      </c>
      <c r="C50" s="54" t="n"/>
      <c r="D50" s="54" t="n"/>
    </row>
    <row r="51">
      <c r="A51" s="72" t="inlineStr">
        <is>
          <t>D6</t>
        </is>
      </c>
      <c r="B51" s="73" t="inlineStr">
        <is>
          <t>Eventuale success fee bandi UE: % e clausole</t>
        </is>
      </c>
      <c r="C51" s="54" t="n"/>
      <c r="D51" s="54" t="n"/>
    </row>
    <row r="52">
      <c r="A52" s="72" t="inlineStr">
        <is>
          <t>D7</t>
        </is>
      </c>
      <c r="B52" s="73" t="inlineStr">
        <is>
          <t>Governance contrattuale congiunta o separata</t>
        </is>
      </c>
      <c r="C52" s="54" t="n"/>
      <c r="D52" s="54" t="n"/>
    </row>
  </sheetData>
  <mergeCells count="26">
    <mergeCell ref="C6:D6"/>
    <mergeCell ref="B23:D23"/>
    <mergeCell ref="B29:D29"/>
    <mergeCell ref="B28:D28"/>
    <mergeCell ref="C10:D10"/>
    <mergeCell ref="B49:D49"/>
    <mergeCell ref="B30:D30"/>
    <mergeCell ref="C9:D9"/>
    <mergeCell ref="B24:D24"/>
    <mergeCell ref="B51:D51"/>
    <mergeCell ref="C12:D12"/>
    <mergeCell ref="C11:D11"/>
    <mergeCell ref="B32:D32"/>
    <mergeCell ref="B50:D50"/>
    <mergeCell ref="B26:D26"/>
    <mergeCell ref="B25:D25"/>
    <mergeCell ref="B47:D47"/>
    <mergeCell ref="C8:D8"/>
    <mergeCell ref="B3:D3"/>
    <mergeCell ref="C7:D7"/>
    <mergeCell ref="B31:D31"/>
    <mergeCell ref="B46:D46"/>
    <mergeCell ref="B27:D27"/>
    <mergeCell ref="B52:D52"/>
    <mergeCell ref="C13:D13"/>
    <mergeCell ref="B48:D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50" customWidth="1" min="4" max="4"/>
  </cols>
  <sheetData>
    <row r="1" ht="28" customHeight="1">
      <c r="A1" s="1" t="inlineStr">
        <is>
          <t>Variabili e parametri master</t>
        </is>
      </c>
    </row>
    <row r="2">
      <c r="A2" s="6" t="inlineStr">
        <is>
          <t>Tutti gli input sono in BLU. Modificare qui per impattare l'intero modello.</t>
        </is>
      </c>
    </row>
    <row r="4" ht="32" customHeight="1">
      <c r="A4" s="7" t="inlineStr">
        <is>
          <t>Parametro</t>
        </is>
      </c>
      <c r="B4" s="7" t="inlineStr">
        <is>
          <t>Valore</t>
        </is>
      </c>
      <c r="C4" s="7" t="inlineStr">
        <is>
          <t>Unità</t>
        </is>
      </c>
      <c r="D4" s="7" t="inlineStr">
        <is>
          <t>Note</t>
        </is>
      </c>
    </row>
    <row r="5">
      <c r="A5" s="74" t="inlineStr">
        <is>
          <t>TARIFFE GIORNALIERE</t>
        </is>
      </c>
      <c r="B5" s="54" t="n"/>
      <c r="C5" s="54" t="n"/>
      <c r="D5" s="54" t="n"/>
    </row>
    <row r="6">
      <c r="A6" s="17" t="inlineStr">
        <is>
          <t>Tariffa HeyAI €/giorno</t>
        </is>
      </c>
      <c r="B6" s="57" t="n">
        <v>750</v>
      </c>
      <c r="C6" s="58" t="inlineStr">
        <is>
          <t>€</t>
        </is>
      </c>
      <c r="D6" s="24" t="inlineStr">
        <is>
          <t>Mid-senior agency Italia 2026 con AI assistance</t>
        </is>
      </c>
    </row>
    <row r="7">
      <c r="A7" s="17" t="inlineStr">
        <is>
          <t>Tariffa FuturItaly base €/giorno</t>
        </is>
      </c>
      <c r="B7" s="57" t="n">
        <v>800</v>
      </c>
      <c r="C7" s="58" t="inlineStr">
        <is>
          <t>€</t>
        </is>
      </c>
      <c r="D7" s="24" t="inlineStr">
        <is>
          <t>Stima · da confermare con Daniele/Elena</t>
        </is>
      </c>
    </row>
    <row r="8">
      <c r="A8" s="17" t="inlineStr">
        <is>
          <t>Markup FuturItaly su cliente</t>
        </is>
      </c>
      <c r="B8" s="75" t="n">
        <v>0.15</v>
      </c>
      <c r="C8" s="58" t="inlineStr">
        <is>
          <t>%</t>
        </is>
      </c>
      <c r="D8" s="24" t="inlineStr">
        <is>
          <t>+15% sopra costo base FuturItaly</t>
        </is>
      </c>
    </row>
    <row r="9">
      <c r="A9" s="17" t="inlineStr">
        <is>
          <t>Tariffa FuturItaly cliente €/giorno</t>
        </is>
      </c>
      <c r="B9" s="76">
        <f>B5*(1+B6)</f>
        <v/>
      </c>
      <c r="C9" s="58" t="inlineStr">
        <is>
          <t>€</t>
        </is>
      </c>
      <c r="D9" s="24" t="inlineStr">
        <is>
          <t>Calcolata: base × (1 + markup)</t>
        </is>
      </c>
    </row>
    <row r="10">
      <c r="A10" s="54" t="n"/>
      <c r="B10" s="54" t="n"/>
      <c r="C10" s="54" t="n"/>
      <c r="D10" s="54" t="n"/>
    </row>
    <row r="11">
      <c r="A11" s="74" t="inlineStr">
        <is>
          <t>SCONTI BUNDLE SITO</t>
        </is>
      </c>
      <c r="B11" s="54" t="n"/>
      <c r="C11" s="54" t="n"/>
      <c r="D11" s="54" t="n"/>
    </row>
    <row r="12">
      <c r="A12" s="17" t="inlineStr">
        <is>
          <t>Sconto Fase 2 se bundle 1+2</t>
        </is>
      </c>
      <c r="B12" s="75" t="n">
        <v>0.05</v>
      </c>
      <c r="C12" s="58" t="inlineStr">
        <is>
          <t>%</t>
        </is>
      </c>
      <c r="D12" s="24" t="inlineStr">
        <is>
          <t>Quando F1 e F2 firmate insieme</t>
        </is>
      </c>
    </row>
    <row r="13">
      <c r="A13" s="17" t="inlineStr">
        <is>
          <t>Sconto Fase 3 se bundle 1+2+3</t>
        </is>
      </c>
      <c r="B13" s="75" t="n">
        <v>0.1</v>
      </c>
      <c r="C13" s="58" t="inlineStr">
        <is>
          <t>%</t>
        </is>
      </c>
      <c r="D13" s="24" t="inlineStr">
        <is>
          <t>Quando tutte 3 fasi firmate insieme</t>
        </is>
      </c>
    </row>
    <row r="14">
      <c r="A14" s="54" t="n"/>
      <c r="B14" s="54" t="n"/>
      <c r="C14" s="54" t="n"/>
      <c r="D14" s="54" t="n"/>
    </row>
    <row r="15">
      <c r="A15" s="74" t="inlineStr">
        <is>
          <t>SCONTI VOLUME ADD-ON P1</t>
        </is>
      </c>
      <c r="B15" s="54" t="n"/>
      <c r="C15" s="54" t="n"/>
      <c r="D15" s="54" t="n"/>
    </row>
    <row r="16">
      <c r="A16" s="17" t="inlineStr">
        <is>
          <t>Soglia per attivare sconto add-on</t>
        </is>
      </c>
      <c r="B16" s="77" t="n">
        <v>3</v>
      </c>
      <c r="C16" s="58" t="inlineStr">
        <is>
          <t>n</t>
        </is>
      </c>
      <c r="D16" s="24" t="inlineStr">
        <is>
          <t>Numero minimo add-on per sconto</t>
        </is>
      </c>
    </row>
    <row r="17">
      <c r="A17" s="17" t="inlineStr">
        <is>
          <t>Sconto se 3 add-on</t>
        </is>
      </c>
      <c r="B17" s="75" t="n">
        <v>0.05</v>
      </c>
      <c r="C17" s="58" t="inlineStr">
        <is>
          <t>%</t>
        </is>
      </c>
      <c r="D17" s="24" t="inlineStr"/>
    </row>
    <row r="18">
      <c r="A18" s="17" t="inlineStr">
        <is>
          <t>Sconto se 4+ add-on</t>
        </is>
      </c>
      <c r="B18" s="75" t="n">
        <v>0.1</v>
      </c>
      <c r="C18" s="58" t="inlineStr">
        <is>
          <t>%</t>
        </is>
      </c>
      <c r="D18" s="24" t="inlineStr"/>
    </row>
    <row r="19">
      <c r="A19" s="17" t="inlineStr">
        <is>
          <t>Sconto bundle ecosistema completo (tutti 8 add-on P1)</t>
        </is>
      </c>
      <c r="B19" s="75" t="n">
        <v>0.15</v>
      </c>
      <c r="C19" s="58" t="inlineStr">
        <is>
          <t>%</t>
        </is>
      </c>
      <c r="D19" s="24" t="inlineStr"/>
    </row>
    <row r="20">
      <c r="A20" s="54" t="n"/>
      <c r="B20" s="54" t="n"/>
      <c r="C20" s="54" t="n"/>
      <c r="D20" s="54" t="n"/>
    </row>
    <row r="21">
      <c r="A21" s="74" t="inlineStr">
        <is>
          <t>SCONTI LOCK-IN CONTINUATIVI P2</t>
        </is>
      </c>
      <c r="B21" s="54" t="n"/>
      <c r="C21" s="54" t="n"/>
      <c r="D21" s="54" t="n"/>
    </row>
    <row r="22">
      <c r="A22" s="17" t="inlineStr">
        <is>
          <t>Sconto lock-in 12 mesi</t>
        </is>
      </c>
      <c r="B22" s="75" t="n">
        <v>0.05</v>
      </c>
      <c r="C22" s="58" t="inlineStr">
        <is>
          <t>%</t>
        </is>
      </c>
      <c r="D22" s="24" t="inlineStr">
        <is>
          <t>Sul canone mensile</t>
        </is>
      </c>
    </row>
    <row r="23">
      <c r="A23" s="17" t="inlineStr">
        <is>
          <t>Sconto lock-in 24 mesi</t>
        </is>
      </c>
      <c r="B23" s="75" t="n">
        <v>0.1</v>
      </c>
      <c r="C23" s="58" t="inlineStr">
        <is>
          <t>%</t>
        </is>
      </c>
      <c r="D23" s="24" t="inlineStr">
        <is>
          <t>Sul canone mensile</t>
        </is>
      </c>
    </row>
    <row r="24">
      <c r="A24" s="54" t="n"/>
      <c r="B24" s="54" t="n"/>
      <c r="C24" s="54" t="n"/>
      <c r="D24" s="54" t="n"/>
    </row>
    <row r="25">
      <c r="A25" s="74" t="inlineStr">
        <is>
          <t>MARGINI TARGET</t>
        </is>
      </c>
      <c r="B25" s="54" t="n"/>
      <c r="C25" s="54" t="n"/>
      <c r="D25" s="54" t="n"/>
    </row>
    <row r="26">
      <c r="A26" s="17" t="inlineStr">
        <is>
          <t>Margine target sano (HeyAI)</t>
        </is>
      </c>
      <c r="B26" s="75" t="n">
        <v>0.55</v>
      </c>
      <c r="C26" s="58" t="inlineStr">
        <is>
          <t>%</t>
        </is>
      </c>
      <c r="D26" s="24" t="inlineStr">
        <is>
          <t>Sweet spot · % margine sul prezzo cliente</t>
        </is>
      </c>
    </row>
    <row r="27">
      <c r="A27" s="17" t="inlineStr">
        <is>
          <t>Margine minimo accettabile</t>
        </is>
      </c>
      <c r="B27" s="75" t="n">
        <v>0.4</v>
      </c>
      <c r="C27" s="58" t="inlineStr">
        <is>
          <t>%</t>
        </is>
      </c>
      <c r="D27" s="24" t="inlineStr">
        <is>
          <t>Limite tattico</t>
        </is>
      </c>
    </row>
    <row r="28">
      <c r="A28" s="17" t="inlineStr">
        <is>
          <t>Costo fornitore max ammesso</t>
        </is>
      </c>
      <c r="B28" s="75" t="n">
        <v>0.6</v>
      </c>
      <c r="C28" s="58" t="inlineStr">
        <is>
          <t>%</t>
        </is>
      </c>
      <c r="D28" s="24" t="inlineStr">
        <is>
          <t>Regola % BLOCCANTE skill HeyAI</t>
        </is>
      </c>
    </row>
    <row r="29">
      <c r="A29" s="54" t="n"/>
      <c r="B29" s="54" t="n"/>
      <c r="C29" s="54" t="n"/>
      <c r="D29" s="54" t="n"/>
    </row>
    <row r="30">
      <c r="A30" s="74" t="inlineStr">
        <is>
          <t>PARAMETRI DELIVERY</t>
        </is>
      </c>
      <c r="B30" s="54" t="n"/>
      <c r="C30" s="54" t="n"/>
      <c r="D30" s="54" t="n"/>
    </row>
    <row r="31">
      <c r="A31" s="17" t="inlineStr">
        <is>
          <t>Durata target sito nuovo (mesi)</t>
        </is>
      </c>
      <c r="B31" s="78" t="n">
        <v>2.5</v>
      </c>
      <c r="C31" s="58" t="inlineStr">
        <is>
          <t>mesi</t>
        </is>
      </c>
      <c r="D31" s="24" t="inlineStr">
        <is>
          <t>2-3 mesi delivery Fase 2</t>
        </is>
      </c>
    </row>
    <row r="32">
      <c r="A32" s="17" t="inlineStr">
        <is>
          <t>Giornata-uomo PM Carlo/settimana</t>
        </is>
      </c>
      <c r="B32" s="77" t="n">
        <v>1</v>
      </c>
      <c r="C32" s="58" t="inlineStr">
        <is>
          <t>g/sett</t>
        </is>
      </c>
      <c r="D32" s="24" t="inlineStr">
        <is>
          <t>Effort PM dedicato durante delivery</t>
        </is>
      </c>
    </row>
    <row r="33">
      <c r="A33" s="17" t="inlineStr">
        <is>
          <t>Lock-in min raccomandato continuativi</t>
        </is>
      </c>
      <c r="B33" s="77" t="n">
        <v>6</v>
      </c>
      <c r="C33" s="58" t="inlineStr">
        <is>
          <t>mesi</t>
        </is>
      </c>
      <c r="D33" s="24" t="inlineStr"/>
    </row>
    <row r="34">
      <c r="A34" s="17" t="inlineStr">
        <is>
          <t>Validità offerta</t>
        </is>
      </c>
      <c r="B34" s="77" t="n">
        <v>30</v>
      </c>
      <c r="C34" s="58" t="inlineStr">
        <is>
          <t>giorni</t>
        </is>
      </c>
      <c r="D34" s="24" t="inlineStr">
        <is>
          <t>Da data emissione proposta</t>
        </is>
      </c>
    </row>
  </sheetData>
  <mergeCells count="6">
    <mergeCell ref="A5:D5"/>
    <mergeCell ref="A21:D21"/>
    <mergeCell ref="A30:D30"/>
    <mergeCell ref="A15:D15"/>
    <mergeCell ref="A25:D25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2026-05-27T12:28:23Z</dcterms:created>
  <dcterms:modified xsi:type="dcterms:W3CDTF">2026-05-27T12:28:23Z</dcterms:modified>
</cp:coreProperties>
</file>
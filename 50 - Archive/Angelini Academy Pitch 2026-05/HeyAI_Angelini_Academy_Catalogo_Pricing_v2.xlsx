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Master_Catalog" sheetId="2" state="visible" r:id="rId2"/>
    <sheet name="02_Pricing_Detail" sheetId="3" state="visible" r:id="rId3"/>
    <sheet name="03_Pacchetti_Commerciali" sheetId="4" state="visible" r:id="rId4"/>
    <sheet name="04_Bundle_Sconti" sheetId="5" state="visible" r:id="rId5"/>
    <sheet name="05_Scenari_Vendita" sheetId="6" state="visible" r:id="rId6"/>
    <sheet name="06_Variables" sheetId="7" state="visible" r:id="rId7"/>
  </sheets>
  <definedNames>
    <definedName name="_xlnm._FilterDatabase" localSheetId="1" hidden="1">'01_Master_Catalog'!$A$3:$G$30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€&quot; #,##0"/>
    <numFmt numFmtId="165" formatCode="0.0%"/>
    <numFmt numFmtId="166" formatCode="0.0"/>
    <numFmt numFmtId="167" formatCode="&quot;€&quot; #,##0;[Red](&quot;€&quot; #,##0)"/>
  </numFmts>
  <fonts count="17">
    <font>
      <name val="Calibri"/>
      <family val="2"/>
      <color theme="1"/>
      <sz val="11"/>
      <scheme val="minor"/>
    </font>
    <font>
      <name val="Arial"/>
      <b val="1"/>
      <color rgb="002B8C96"/>
      <sz val="16"/>
    </font>
    <font>
      <name val="Arial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i val="1"/>
      <color rgb="00606060"/>
      <sz val="9"/>
    </font>
    <font>
      <name val="Arial"/>
      <b val="1"/>
      <color rgb="00FFFFFF"/>
      <sz val="11"/>
    </font>
    <font>
      <name val="Arial"/>
      <b val="1"/>
      <color rgb="000000FF"/>
      <sz val="10"/>
    </font>
    <font>
      <name val="Arial"/>
      <b val="1"/>
      <color rgb="00156082"/>
      <sz val="10"/>
    </font>
    <font>
      <name val="Arial"/>
      <b val="1"/>
      <color rgb="00000000"/>
      <sz val="9"/>
    </font>
    <font>
      <name val="Arial"/>
      <color rgb="00008000"/>
      <sz val="10"/>
    </font>
    <font>
      <name val="Arial"/>
      <b val="1"/>
      <color rgb="002B8C96"/>
      <sz val="10"/>
    </font>
    <font>
      <name val="Arial"/>
      <b val="1"/>
      <color rgb="00156082"/>
      <sz val="12"/>
    </font>
    <font>
      <name val="Arial"/>
      <b val="1"/>
      <color rgb="00C58800"/>
      <sz val="10"/>
    </font>
    <font>
      <name val="Arial"/>
      <b val="1"/>
      <color rgb="00009000"/>
      <sz val="10"/>
    </font>
    <font>
      <name val="Arial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1F3A4D"/>
      </patternFill>
    </fill>
    <fill>
      <patternFill patternType="solid">
        <fgColor rgb="00FFFFCC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2B8C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top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10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6" fontId="8" fillId="4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center"/>
    </xf>
    <xf numFmtId="0" fontId="3" fillId="6" borderId="1" applyAlignment="1" pivotButton="0" quotePrefix="0" xfId="0">
      <alignment vertical="center" wrapText="1"/>
    </xf>
    <xf numFmtId="164" fontId="11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vertical="center" wrapText="1"/>
    </xf>
    <xf numFmtId="164" fontId="6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right" vertical="center"/>
    </xf>
    <xf numFmtId="0" fontId="13" fillId="0" borderId="0" pivotButton="0" quotePrefix="0" xfId="0"/>
    <xf numFmtId="0" fontId="5" fillId="2" borderId="0" pivotButton="0" quotePrefix="0" xfId="0"/>
    <xf numFmtId="0" fontId="9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8" fillId="4" borderId="1" pivotButton="0" quotePrefix="0" xfId="0"/>
    <xf numFmtId="165" fontId="6" fillId="0" borderId="1" pivotButton="0" quotePrefix="0" xfId="0"/>
    <xf numFmtId="164" fontId="3" fillId="0" borderId="1" pivotButton="0" quotePrefix="0" xfId="0"/>
    <xf numFmtId="165" fontId="11" fillId="0" borderId="1" pivotButton="0" quotePrefix="0" xfId="0"/>
    <xf numFmtId="0" fontId="5" fillId="2" borderId="1" pivotButton="0" quotePrefix="0" xfId="0"/>
    <xf numFmtId="164" fontId="5" fillId="2" borderId="1" pivotButton="0" quotePrefix="0" xfId="0"/>
    <xf numFmtId="0" fontId="0" fillId="0" borderId="1" pivotButton="0" quotePrefix="0" xfId="0"/>
    <xf numFmtId="164" fontId="12" fillId="2" borderId="1" pivotButton="0" quotePrefix="0" xfId="0"/>
    <xf numFmtId="164" fontId="15" fillId="0" borderId="1" pivotButton="0" quotePrefix="0" xfId="0"/>
    <xf numFmtId="0" fontId="6" fillId="0" borderId="1" pivotButton="0" quotePrefix="0" xfId="0"/>
    <xf numFmtId="164" fontId="8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right" vertical="center"/>
    </xf>
    <xf numFmtId="167" fontId="11" fillId="0" borderId="1" applyAlignment="1" pivotButton="0" quotePrefix="0" xfId="0">
      <alignment horizontal="right" vertical="center"/>
    </xf>
    <xf numFmtId="0" fontId="7" fillId="10" borderId="1" pivotButton="0" quotePrefix="0" xfId="0"/>
    <xf numFmtId="164" fontId="16" fillId="10" borderId="1" applyAlignment="1" pivotButton="0" quotePrefix="0" xfId="0">
      <alignment horizontal="right" vertical="center"/>
    </xf>
    <xf numFmtId="0" fontId="3" fillId="0" borderId="0" pivotButton="0" quotePrefix="0" xfId="0"/>
    <xf numFmtId="0" fontId="6" fillId="0" borderId="0" applyAlignment="1" pivotButton="0" quotePrefix="0" xfId="0">
      <alignment horizontal="center"/>
    </xf>
    <xf numFmtId="0" fontId="5" fillId="0" borderId="1" pivotButton="0" quotePrefix="0" xfId="0"/>
    <xf numFmtId="165" fontId="8" fillId="4" borderId="1" applyAlignment="1" pivotButton="0" quotePrefix="0" xfId="0">
      <alignment horizontal="right" vertical="center"/>
    </xf>
    <xf numFmtId="1" fontId="8" fillId="4" borderId="1" applyAlignment="1" pivotButton="0" quotePrefix="0" xfId="0">
      <alignment horizontal="right" vertical="center"/>
    </xf>
    <xf numFmtId="166" fontId="8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 ht="28" customHeight="1">
      <c r="A1" s="1" t="inlineStr">
        <is>
          <t>Catalogo Servizi e Pricing — Angelini Academy (v2)</t>
        </is>
      </c>
    </row>
    <row r="3">
      <c r="A3" s="2" t="inlineStr"/>
      <c r="B3" s="3" t="inlineStr"/>
    </row>
    <row r="4">
      <c r="A4" s="4" t="inlineStr">
        <is>
          <t>Documento di lavoro per:</t>
        </is>
      </c>
      <c r="B4" s="3" t="inlineStr">
        <is>
          <t>Carlo Sanvoisin (HeyAI)</t>
        </is>
      </c>
    </row>
    <row r="5">
      <c r="A5" s="4" t="inlineStr">
        <is>
          <t>Partner economics:</t>
        </is>
      </c>
      <c r="B5" s="3" t="inlineStr">
        <is>
          <t>Daniele Caporale + Elena Chiti (FuturItaly)</t>
        </is>
      </c>
    </row>
    <row r="6">
      <c r="A6" s="4" t="inlineStr">
        <is>
          <t>Cliente target:</t>
        </is>
      </c>
      <c r="B6" s="3" t="inlineStr">
        <is>
          <t>Angelini Academy (Angelini Industries — Communication &amp; Brand)</t>
        </is>
      </c>
    </row>
    <row r="7">
      <c r="A7" s="4" t="inlineStr">
        <is>
          <t>Data versione:</t>
        </is>
      </c>
      <c r="B7" s="3" t="inlineStr">
        <is>
          <t>Maggio 2026 — v2 (post-feedback)</t>
        </is>
      </c>
    </row>
    <row r="8">
      <c r="A8" s="4" t="inlineStr">
        <is>
          <t>Status:</t>
        </is>
      </c>
      <c r="B8" s="3" t="inlineStr">
        <is>
          <t>Working draft · prezzi P3 FuturItaly e dettagli editoriali da chiudere con Elena</t>
        </is>
      </c>
    </row>
    <row r="9">
      <c r="A9" s="2" t="inlineStr"/>
      <c r="B9" s="3" t="inlineStr"/>
    </row>
    <row r="10">
      <c r="A10" s="4" t="inlineStr">
        <is>
          <t>MODIFICHE v2 rispetto a v1</t>
        </is>
      </c>
      <c r="B10" s="3" t="inlineStr"/>
    </row>
    <row r="11">
      <c r="A11" s="4" t="inlineStr">
        <is>
          <t>Master Catalog</t>
        </is>
      </c>
      <c r="B11" s="3" t="inlineStr">
        <is>
          <t>Solo 7 colonne (rimosse V3 Brief, V4 Priorità, V6 Fase)</t>
        </is>
      </c>
    </row>
    <row r="12">
      <c r="A12" s="4" t="inlineStr">
        <is>
          <t>Pricing Detail</t>
        </is>
      </c>
      <c r="B12" s="3" t="inlineStr">
        <is>
          <t>Solo 8 colonne (rimossi Margine € e Margine %)</t>
        </is>
      </c>
    </row>
    <row r="13">
      <c r="A13" s="4" t="inlineStr">
        <is>
          <t>Variables</t>
        </is>
      </c>
      <c r="B13" s="3" t="inlineStr">
        <is>
          <t>Rimosse tariffe FuturItaly, markup FuturItaly, margini target HeyAI</t>
        </is>
      </c>
    </row>
    <row r="14">
      <c r="A14" s="4" t="inlineStr">
        <is>
          <t>Tariffa HeyAI</t>
        </is>
      </c>
      <c r="B14" s="3" t="inlineStr">
        <is>
          <t>€650/giorno (era €750)</t>
        </is>
      </c>
    </row>
    <row r="15">
      <c r="A15" s="4" t="inlineStr">
        <is>
          <t>Nomenclatura</t>
        </is>
      </c>
      <c r="B15" s="3" t="inlineStr">
        <is>
          <t>Regia Editoriale &amp; Content Creation · Batch iniziale contenuti (workshop incluso)</t>
        </is>
      </c>
    </row>
    <row r="16">
      <c r="A16" s="4" t="inlineStr">
        <is>
          <t>Owner Community Engaged Network</t>
        </is>
      </c>
      <c r="B16" s="3" t="inlineStr">
        <is>
          <t>Solo HeyAI (non più Congiunto)</t>
        </is>
      </c>
    </row>
    <row r="17">
      <c r="A17" s="4" t="inlineStr">
        <is>
          <t>Accessibility</t>
        </is>
      </c>
      <c r="B17" s="3" t="inlineStr">
        <is>
          <t>RIMOSSA come add-on</t>
        </is>
      </c>
    </row>
    <row r="18">
      <c r="A18" s="4" t="inlineStr">
        <is>
          <t>P1.1 Sito nuovo</t>
        </is>
      </c>
      <c r="B18" s="3" t="inlineStr">
        <is>
          <t>€24.000 (target tuo · era €28.000)</t>
        </is>
      </c>
    </row>
    <row r="19">
      <c r="A19" s="5" t="inlineStr">
        <is>
          <t>P1.C.1 / P1.C.2 / P1.D</t>
        </is>
      </c>
      <c r="B19" s="3" t="inlineStr">
        <is>
          <t>Prezzi abbassati con nuovo razionale benchmark</t>
        </is>
      </c>
    </row>
    <row r="20">
      <c r="A20" s="4" t="inlineStr">
        <is>
          <t>Foglio Call Elena</t>
        </is>
      </c>
      <c r="B20" s="3" t="inlineStr">
        <is>
          <t>RIMOSSO dall'Excel · disponibile come specchietto in chat</t>
        </is>
      </c>
    </row>
    <row r="21">
      <c r="A21" s="2" t="inlineStr"/>
      <c r="B21" s="3" t="inlineStr"/>
    </row>
    <row r="22">
      <c r="A22" s="5" t="inlineStr">
        <is>
          <t>INDICE FOGLI</t>
        </is>
      </c>
      <c r="B22" s="3" t="inlineStr"/>
    </row>
    <row r="23">
      <c r="A23" s="5" t="inlineStr">
        <is>
          <t>00_README</t>
        </is>
      </c>
      <c r="B23" s="3" t="inlineStr">
        <is>
          <t>Guida (questo foglio)</t>
        </is>
      </c>
    </row>
    <row r="24">
      <c r="A24" s="4" t="inlineStr">
        <is>
          <t>01_Master_Catalog</t>
        </is>
      </c>
      <c r="B24" s="3" t="inlineStr">
        <is>
          <t>Catalogo completo dei servizi su 7 variabili strategiche</t>
        </is>
      </c>
    </row>
    <row r="25">
      <c r="A25" s="4" t="inlineStr">
        <is>
          <t>02_Pricing_Detail</t>
        </is>
      </c>
      <c r="B25" s="3" t="inlineStr">
        <is>
          <t>Effort + costo + prezzo cliente per ogni voce (formule live)</t>
        </is>
      </c>
    </row>
    <row r="26">
      <c r="A26" s="4" t="inlineStr">
        <is>
          <t>03_Pacchetti_Commerciali</t>
        </is>
      </c>
      <c r="B26" s="3" t="inlineStr">
        <is>
          <t>Struttura commerciale: P1 SITO · P2 EDIT&amp;SOCIAL · P3 FUTURITALY · P4 KIT</t>
        </is>
      </c>
    </row>
    <row r="27">
      <c r="A27" s="4" t="inlineStr">
        <is>
          <t>04_Bundle_Sconti</t>
        </is>
      </c>
      <c r="B27" s="3" t="inlineStr">
        <is>
          <t>Sconti bundle progressive, volume add-on, lock-in continuativi</t>
        </is>
      </c>
    </row>
    <row r="28">
      <c r="A28" s="4" t="inlineStr">
        <is>
          <t>05_Scenari_Vendita</t>
        </is>
      </c>
      <c r="B28" s="3" t="inlineStr">
        <is>
          <t>Entry · Standard · Premium + selector custom</t>
        </is>
      </c>
    </row>
    <row r="29">
      <c r="A29" s="4" t="inlineStr">
        <is>
          <t>06_Variables</t>
        </is>
      </c>
      <c r="B29" s="3" t="inlineStr">
        <is>
          <t>Parametri modificabili (tariffe, sconti)</t>
        </is>
      </c>
    </row>
    <row r="30">
      <c r="A30" s="2" t="inlineStr"/>
      <c r="B30" s="3" t="inlineStr"/>
    </row>
    <row r="31">
      <c r="A31" s="5" t="inlineStr">
        <is>
          <t>LEGENDA COLORI</t>
        </is>
      </c>
      <c r="B31" s="3" t="inlineStr"/>
    </row>
    <row r="32">
      <c r="A32" s="4" t="inlineStr">
        <is>
          <t>Blu (testo) + sfondo giallo</t>
        </is>
      </c>
      <c r="B32" s="3" t="inlineStr">
        <is>
          <t>Input modificabile — cambia qui per scenari</t>
        </is>
      </c>
    </row>
    <row r="33">
      <c r="A33" s="4" t="inlineStr">
        <is>
          <t>Nero (testo)</t>
        </is>
      </c>
      <c r="B33" s="3" t="inlineStr">
        <is>
          <t>Formula automatica — NON modificare</t>
        </is>
      </c>
    </row>
    <row r="34">
      <c r="A34" s="4" t="inlineStr">
        <is>
          <t>Verde (testo)</t>
        </is>
      </c>
      <c r="B34" s="3" t="inlineStr">
        <is>
          <t>Link cross-foglio</t>
        </is>
      </c>
    </row>
    <row r="35">
      <c r="A35" s="4" t="inlineStr">
        <is>
          <t>Sfondo teal scuro</t>
        </is>
      </c>
      <c r="B35" s="3" t="inlineStr">
        <is>
          <t>Header tabella</t>
        </is>
      </c>
    </row>
    <row r="36">
      <c r="A36" s="2" t="inlineStr"/>
      <c r="B36" s="3" t="inlineStr"/>
    </row>
    <row r="37">
      <c r="A37" s="5" t="inlineStr">
        <is>
          <t>VARIABILI MASTER</t>
        </is>
      </c>
      <c r="B37" s="3" t="inlineStr"/>
    </row>
    <row r="38">
      <c r="A38" s="4" t="inlineStr">
        <is>
          <t>Tariffa HeyAI</t>
        </is>
      </c>
      <c r="B38" s="3" t="inlineStr">
        <is>
          <t>€650/giorno (vedi 06_Variables)</t>
        </is>
      </c>
    </row>
    <row r="39">
      <c r="A39" s="4" t="inlineStr">
        <is>
          <t>Sconto bundle Fase 1+2</t>
        </is>
      </c>
      <c r="B39" s="3" t="inlineStr">
        <is>
          <t>−5% sulla Fase 2</t>
        </is>
      </c>
    </row>
    <row r="40">
      <c r="A40" s="4" t="inlineStr">
        <is>
          <t>Sconto bundle 1+2+3 completo</t>
        </is>
      </c>
      <c r="B40" s="3" t="inlineStr">
        <is>
          <t>−5% F2 + −10% F3</t>
        </is>
      </c>
    </row>
    <row r="41">
      <c r="A41" s="4" t="inlineStr">
        <is>
          <t>Sconto volume add-on</t>
        </is>
      </c>
      <c r="B41" s="3" t="inlineStr">
        <is>
          <t>−5% (3 add-on) · −10% (4+) · −15% (tutti)</t>
        </is>
      </c>
    </row>
    <row r="42">
      <c r="A42" s="4" t="inlineStr">
        <is>
          <t>Sconto lock-in continuativi</t>
        </is>
      </c>
      <c r="B42" s="3" t="inlineStr">
        <is>
          <t>−5% (12 mesi) · −10% (24 mesi)</t>
        </is>
      </c>
    </row>
    <row r="43">
      <c r="A43" s="2" t="inlineStr"/>
      <c r="B43" s="3" t="inlineStr"/>
    </row>
    <row r="44">
      <c r="A44" s="5" t="inlineStr">
        <is>
          <t>USO TIPICO</t>
        </is>
      </c>
      <c r="B44" s="3" t="inlineStr"/>
    </row>
    <row r="45">
      <c r="A45" s="4" t="inlineStr">
        <is>
          <t>1. Riflessione pricing</t>
        </is>
      </c>
      <c r="B45" s="3" t="inlineStr">
        <is>
          <t>Cambia tariffa/sconti in 06_Variables · vedi impatto in 02_Pricing_Detail</t>
        </is>
      </c>
    </row>
    <row r="46">
      <c r="A46" s="4" t="inlineStr">
        <is>
          <t>2. Validazione effort con Michele</t>
        </is>
      </c>
      <c r="B46" s="3" t="inlineStr">
        <is>
          <t>Modifica effort g/u (giallo) in 02_Pricing_Detail</t>
        </is>
      </c>
    </row>
    <row r="47">
      <c r="A47" s="4" t="inlineStr">
        <is>
          <t>3. Costruzione scenari cliente</t>
        </is>
      </c>
      <c r="B47" s="3" t="inlineStr">
        <is>
          <t>Apri 05_Scenari_Vendita · compila colonna 'Custom' con 1/0</t>
        </is>
      </c>
    </row>
    <row r="48">
      <c r="A48" s="4" t="inlineStr">
        <is>
          <t>4. Negoziazione finale</t>
        </is>
      </c>
      <c r="B48" s="3" t="inlineStr">
        <is>
          <t>Modifica sconti in 04_Bundle_Sconti · scenari si ricalcolano</t>
        </is>
      </c>
    </row>
    <row r="49">
      <c r="A49" s="2" t="inlineStr"/>
      <c r="B49" s="3" t="inlineStr"/>
    </row>
    <row r="50">
      <c r="A50" s="5" t="inlineStr">
        <is>
          <t>FUTURITALY — NOTE OPERATIVE</t>
        </is>
      </c>
      <c r="B50" s="3" t="inlineStr"/>
    </row>
    <row r="51">
      <c r="A51" s="4" t="inlineStr">
        <is>
          <t>Prezzi P3</t>
        </is>
      </c>
      <c r="B51" s="3" t="inlineStr">
        <is>
          <t>Tutti TBD — i prezzi verranno forniti direttamente da FuturItaly</t>
        </is>
      </c>
    </row>
    <row r="52">
      <c r="A52" s="4" t="inlineStr">
        <is>
          <t>Tariffe FuturItaly</t>
        </is>
      </c>
      <c r="B52" s="3" t="inlineStr">
        <is>
          <t>NON inserite in questo Excel — Carlo le discute direttamente con Elena</t>
        </is>
      </c>
    </row>
    <row r="53">
      <c r="A53" s="4" t="inlineStr">
        <is>
          <t>Margini</t>
        </is>
      </c>
      <c r="B53" s="3" t="inlineStr">
        <is>
          <t>NON inseriti — riservati alla discussione interna Carlo / Elena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60" customWidth="1" min="3" max="3"/>
    <col width="12" customWidth="1" min="4" max="4"/>
    <col width="14" customWidth="1" min="5" max="5"/>
    <col width="14" customWidth="1" min="6" max="6"/>
    <col width="18" customWidth="1" min="7" max="7"/>
  </cols>
  <sheetData>
    <row r="1" ht="28" customHeight="1">
      <c r="A1" s="1" t="inlineStr">
        <is>
          <t>Catalogo Master — Tutti i servizi classificati</t>
        </is>
      </c>
    </row>
    <row r="2">
      <c r="A2" s="6" t="inlineStr">
        <is>
          <t>7 variabili strategiche · filtri attivi · ordinato per pacchetto</t>
        </is>
      </c>
    </row>
    <row r="3" ht="32" customHeight="1">
      <c r="A3" s="7" t="inlineStr">
        <is>
          <t>Codice</t>
        </is>
      </c>
      <c r="B3" s="7" t="inlineStr">
        <is>
          <t>Servizio</t>
        </is>
      </c>
      <c r="C3" s="7" t="inlineStr">
        <is>
          <t>Sottovoci / Cosa include</t>
        </is>
      </c>
      <c r="D3" s="7" t="inlineStr">
        <is>
          <t>V1 Owner</t>
        </is>
      </c>
      <c r="E3" s="7" t="inlineStr">
        <is>
          <t>V2 Natura</t>
        </is>
      </c>
      <c r="F3" s="7" t="inlineStr">
        <is>
          <t>V5 Tipo</t>
        </is>
      </c>
      <c r="G3" s="7" t="inlineStr">
        <is>
          <t>Pacchetto</t>
        </is>
      </c>
    </row>
    <row r="4">
      <c r="A4" s="8" t="inlineStr">
        <is>
          <t>P1.0</t>
        </is>
      </c>
      <c r="B4" s="9" t="inlineStr">
        <is>
          <t>Riallineamento sito attuale (Fase 1)</t>
        </is>
      </c>
      <c r="C4" s="9" t="inlineStr">
        <is>
          <t>Refresh visivo · cambio copy minimo · cambio foto · 1-2 sezioni nuove · supporto pre-Festival Trento</t>
        </is>
      </c>
      <c r="D4" s="9" t="inlineStr">
        <is>
          <t>HeyAI</t>
        </is>
      </c>
      <c r="E4" s="9" t="inlineStr">
        <is>
          <t>Core</t>
        </is>
      </c>
      <c r="F4" s="9" t="inlineStr">
        <is>
          <t>Progetto</t>
        </is>
      </c>
      <c r="G4" s="10" t="inlineStr">
        <is>
          <t>P1 SITO</t>
        </is>
      </c>
    </row>
    <row r="5">
      <c r="A5" s="11" t="inlineStr">
        <is>
          <t>P1.1</t>
        </is>
      </c>
      <c r="B5" s="12" t="inlineStr">
        <is>
          <t>Sito nuovo pubblico (Fase 2)</t>
        </is>
      </c>
      <c r="C5" s="12" t="inlineStr">
        <is>
          <t>17 route · 5 percorsi (Talent · Researcher · HR&amp;B · Imprese · Media) · MBA Gateway · Engaged Research preview · Founder Stories · Blog 3 stream · Eventi · Press · Chi Siamo · Contatti · Form base raccolta richieste · CMS · bilinguismo IT/EN · GDPR · hosting · QA · handover · PM 1g/sett</t>
        </is>
      </c>
      <c r="D5" s="12" t="inlineStr">
        <is>
          <t>HeyAI</t>
        </is>
      </c>
      <c r="E5" s="12" t="inlineStr">
        <is>
          <t>Core</t>
        </is>
      </c>
      <c r="F5" s="12" t="inlineStr">
        <is>
          <t>Progetto</t>
        </is>
      </c>
      <c r="G5" s="10" t="inlineStr">
        <is>
          <t>P1 SITO</t>
        </is>
      </c>
    </row>
    <row r="6">
      <c r="A6" s="8" t="inlineStr">
        <is>
          <t>P1.A</t>
        </is>
      </c>
      <c r="B6" s="9" t="inlineStr">
        <is>
          <t>Studio strategico Customer Journey + analisi mercato</t>
        </is>
      </c>
      <c r="C6" s="9" t="inlineStr">
        <is>
          <t>Analisi 5 personas approfondita · journey mapping per persona · analisi mercato a supporto · documento strategico · prerequisito raccomandato P1.1</t>
        </is>
      </c>
      <c r="D6" s="9" t="inlineStr">
        <is>
          <t>HeyAI</t>
        </is>
      </c>
      <c r="E6" s="9" t="inlineStr">
        <is>
          <t>Core</t>
        </is>
      </c>
      <c r="F6" s="9" t="inlineStr">
        <is>
          <t>Progetto</t>
        </is>
      </c>
      <c r="G6" s="10" t="inlineStr">
        <is>
          <t>P1 SITO</t>
        </is>
      </c>
    </row>
    <row r="7">
      <c r="A7" s="11" t="inlineStr">
        <is>
          <t>P1.B</t>
        </is>
      </c>
      <c r="B7" s="12" t="inlineStr">
        <is>
          <t>4 MVP Intelligenza Artificiale verticali</t>
        </is>
      </c>
      <c r="C7" s="12" t="inlineStr">
        <is>
          <t>Tutor (contenuti Academy) · Reading Room (paper Engaged Research) · Career Path Navigator (percorso 5 personas) · Research Engine MVP (ricerca semantica) · LLM API + prompt eng + UI conversazionale + guardrail</t>
        </is>
      </c>
      <c r="D7" s="12" t="inlineStr">
        <is>
          <t>HeyAI</t>
        </is>
      </c>
      <c r="E7" s="12" t="inlineStr">
        <is>
          <t>Core</t>
        </is>
      </c>
      <c r="F7" s="12" t="inlineStr">
        <is>
          <t>Progetto</t>
        </is>
      </c>
      <c r="G7" s="10" t="inlineStr">
        <is>
          <t>P1 SITO</t>
        </is>
      </c>
    </row>
    <row r="8">
      <c r="A8" s="8" t="inlineStr">
        <is>
          <t>P1.C.1</t>
        </is>
      </c>
      <c r="B8" s="9" t="inlineStr">
        <is>
          <t>Area Riservata Semplice</t>
        </is>
      </c>
      <c r="C8" s="9" t="inlineStr">
        <is>
          <t>Login dipendenti Gruppo · area unica senza differenziazione tenant · sezioni statiche · MVP minimo</t>
        </is>
      </c>
      <c r="D8" s="9" t="inlineStr">
        <is>
          <t>HeyAI</t>
        </is>
      </c>
      <c r="E8" s="9" t="inlineStr">
        <is>
          <t>Core</t>
        </is>
      </c>
      <c r="F8" s="9" t="inlineStr">
        <is>
          <t>Progetto</t>
        </is>
      </c>
      <c r="G8" s="10" t="inlineStr">
        <is>
          <t>P1 SITO</t>
        </is>
      </c>
    </row>
    <row r="9">
      <c r="A9" s="11" t="inlineStr">
        <is>
          <t>P1.C.2</t>
        </is>
      </c>
      <c r="B9" s="12" t="inlineStr">
        <is>
          <t>Area Riservata Avanzata (upgrade da C.1)</t>
        </is>
      </c>
      <c r="C9" s="12" t="inlineStr">
        <is>
          <t>Login singolo utente · Personal Learning Record (track record corsi · progressi · suggerimenti per dipendente) · sub-aree dedicate</t>
        </is>
      </c>
      <c r="D9" s="12" t="inlineStr">
        <is>
          <t>HeyAI</t>
        </is>
      </c>
      <c r="E9" s="12" t="inlineStr">
        <is>
          <t>Core</t>
        </is>
      </c>
      <c r="F9" s="12" t="inlineStr">
        <is>
          <t>Progetto</t>
        </is>
      </c>
      <c r="G9" s="10" t="inlineStr">
        <is>
          <t>P1 SITO</t>
        </is>
      </c>
    </row>
    <row r="10">
      <c r="A10" s="8" t="inlineStr">
        <is>
          <t>P1.D</t>
        </is>
      </c>
      <c r="B10" s="9" t="inlineStr">
        <is>
          <t>Community Engaged Network</t>
        </is>
      </c>
      <c r="C10" s="9" t="inlineStr">
        <is>
          <t>3 feature MVP: Paper Discussion Threads + Position Paper drafting collaborativo + Career Path Tracker · Hub editoriale community-only · riuso auth da C.1/C.2 · NO AI Co-pilot · NO Quiz pedagogico</t>
        </is>
      </c>
      <c r="D10" s="9" t="inlineStr">
        <is>
          <t>HeyAI</t>
        </is>
      </c>
      <c r="E10" s="9" t="inlineStr">
        <is>
          <t>Core</t>
        </is>
      </c>
      <c r="F10" s="9" t="inlineStr">
        <is>
          <t>Progetto</t>
        </is>
      </c>
      <c r="G10" s="10" t="inlineStr">
        <is>
          <t>P1 SITO</t>
        </is>
      </c>
    </row>
    <row r="11">
      <c r="A11" s="11" t="inlineStr">
        <is>
          <t>P1.E</t>
        </is>
      </c>
      <c r="B11" s="12" t="inlineStr">
        <is>
          <t>Analytics native + Dashboard team interno</t>
        </is>
      </c>
      <c r="C11" s="12" t="inlineStr">
        <is>
          <t>Dashboard custom su dati nativi sito · metriche audience · conversione per persona · NO integrazioni esterne</t>
        </is>
      </c>
      <c r="D11" s="12" t="inlineStr">
        <is>
          <t>HeyAI</t>
        </is>
      </c>
      <c r="E11" s="12" t="inlineStr">
        <is>
          <t>Core</t>
        </is>
      </c>
      <c r="F11" s="12" t="inlineStr">
        <is>
          <t>Progetto</t>
        </is>
      </c>
      <c r="G11" s="10" t="inlineStr">
        <is>
          <t>P1 SITO</t>
        </is>
      </c>
    </row>
    <row r="12">
      <c r="A12" s="8" t="inlineStr">
        <is>
          <t>P1.F</t>
        </is>
      </c>
      <c r="B12" s="9" t="inlineStr">
        <is>
          <t>Landing eventi pubblici</t>
        </is>
      </c>
      <c r="C12" s="9" t="inlineStr">
        <is>
          <t>Per evento: design landing dedicata · form registrazione · esperienza interattiva · lead capture · attivabile anche prima del sito nuovo</t>
        </is>
      </c>
      <c r="D12" s="9" t="inlineStr">
        <is>
          <t>HeyAI</t>
        </is>
      </c>
      <c r="E12" s="9" t="inlineStr">
        <is>
          <t>Core</t>
        </is>
      </c>
      <c r="F12" s="9" t="inlineStr">
        <is>
          <t>On-demand</t>
        </is>
      </c>
      <c r="G12" s="10" t="inlineStr">
        <is>
          <t>P1 SITO</t>
        </is>
      </c>
    </row>
    <row r="13">
      <c r="A13" s="11" t="inlineStr">
        <is>
          <t>P1.G</t>
        </is>
      </c>
      <c r="B13" s="12" t="inlineStr">
        <is>
          <t>Landing eventi interni</t>
        </is>
      </c>
      <c r="C13" s="12" t="inlineStr">
        <is>
          <t>Per evento: stessa logica di F ma con login richiesto · richiede P1.C.1 o P1.C.2 attivata</t>
        </is>
      </c>
      <c r="D13" s="12" t="inlineStr">
        <is>
          <t>HeyAI</t>
        </is>
      </c>
      <c r="E13" s="12" t="inlineStr">
        <is>
          <t>Core</t>
        </is>
      </c>
      <c r="F13" s="12" t="inlineStr">
        <is>
          <t>On-demand</t>
        </is>
      </c>
      <c r="G13" s="10" t="inlineStr">
        <is>
          <t>P1 SITO</t>
        </is>
      </c>
    </row>
    <row r="14">
      <c r="A14" s="8" t="inlineStr">
        <is>
          <t>P1.H</t>
        </is>
      </c>
      <c r="B14" s="9" t="inlineStr">
        <is>
          <t>SEO avanzata + topic authority</t>
        </is>
      </c>
      <c r="C14" s="9" t="inlineStr">
        <is>
          <t>15 keyword priority mappate · long-tail dominance pedagogia/edTech · schema markup avanzato · content brief per autori · monitoring 3 mesi opzionale</t>
        </is>
      </c>
      <c r="D14" s="9" t="inlineStr">
        <is>
          <t>HeyAI</t>
        </is>
      </c>
      <c r="E14" s="9" t="inlineStr">
        <is>
          <t>Complementare</t>
        </is>
      </c>
      <c r="F14" s="9" t="inlineStr">
        <is>
          <t>Progetto</t>
        </is>
      </c>
      <c r="G14" s="10" t="inlineStr">
        <is>
          <t>P1 SITO</t>
        </is>
      </c>
    </row>
    <row r="15">
      <c r="A15" s="11" t="inlineStr">
        <is>
          <t>P1.J</t>
        </is>
      </c>
      <c r="B15" s="12" t="inlineStr">
        <is>
          <t>Analytics setup base (GA4 + Plausible)</t>
        </is>
      </c>
      <c r="C15" s="12" t="inlineStr">
        <is>
          <t>Setup GA4 + Plausible · eventi conversion · funnel tracking · dashboard segmentato per persona</t>
        </is>
      </c>
      <c r="D15" s="12" t="inlineStr">
        <is>
          <t>HeyAI</t>
        </is>
      </c>
      <c r="E15" s="12" t="inlineStr">
        <is>
          <t>Complementare</t>
        </is>
      </c>
      <c r="F15" s="12" t="inlineStr">
        <is>
          <t>Progetto</t>
        </is>
      </c>
      <c r="G15" s="10" t="inlineStr">
        <is>
          <t>P1 SITO</t>
        </is>
      </c>
    </row>
    <row r="16">
      <c r="A16" s="8" t="inlineStr">
        <is>
          <t>P1.K</t>
        </is>
      </c>
      <c r="B16" s="9" t="inlineStr">
        <is>
          <t>Integrazione tecnica email marketing</t>
        </is>
      </c>
      <c r="C16" s="9" t="inlineStr">
        <is>
          <t>Collegamento form sito → piattaforma email (Mailchimp/Brevo/HubSpot) · DNS records · NO setup campagne</t>
        </is>
      </c>
      <c r="D16" s="9" t="inlineStr">
        <is>
          <t>HeyAI</t>
        </is>
      </c>
      <c r="E16" s="9" t="inlineStr">
        <is>
          <t>Complementare</t>
        </is>
      </c>
      <c r="F16" s="9" t="inlineStr">
        <is>
          <t>Progetto</t>
        </is>
      </c>
      <c r="G16" s="10" t="inlineStr">
        <is>
          <t>P1 SITO</t>
        </is>
      </c>
    </row>
    <row r="17">
      <c r="A17" s="11" t="inlineStr">
        <is>
          <t>P2.0B</t>
        </is>
      </c>
      <c r="B17" s="12" t="inlineStr">
        <is>
          <t>Batch iniziale contenuti (workshop incluso)</t>
        </is>
      </c>
      <c r="C17" s="12" t="inlineStr">
        <is>
          <t>Workshop strategia + ToV applicato · editorial calendar primo trimestre · copywriting completo sito Fase 2 · press kit produzione iniziale (one-pager + boilerplate + bio + brand assets + fact sheet + template) · 2 Founder Stories iniziali</t>
        </is>
      </c>
      <c r="D17" s="12" t="inlineStr">
        <is>
          <t>HeyAI</t>
        </is>
      </c>
      <c r="E17" s="12" t="inlineStr">
        <is>
          <t>Core</t>
        </is>
      </c>
      <c r="F17" s="12" t="inlineStr">
        <is>
          <t>Progetto</t>
        </is>
      </c>
      <c r="G17" s="13" t="inlineStr">
        <is>
          <t>P2 EDIT&amp;SOCIAL</t>
        </is>
      </c>
    </row>
    <row r="18">
      <c r="A18" s="8" t="inlineStr">
        <is>
          <t>P2.0C</t>
        </is>
      </c>
      <c r="B18" s="9" t="inlineStr">
        <is>
          <t>Regia Editoriale &amp; Content Creation continuativo</t>
        </is>
      </c>
      <c r="C18" s="9" t="inlineStr">
        <is>
          <t>2-3 articoli blog/mese (3 stream Identità · Ricerca · Programmi) · 1 paper Engaged Research → sezione web · video pillole ricercatori 1-2/trim · storie alumni 1/trim · press kit aggiornamento bimestrale/trim · coordinamento + reportistica · copywriting incluso · PM incluso</t>
        </is>
      </c>
      <c r="D18" s="9" t="inlineStr">
        <is>
          <t>HeyAI</t>
        </is>
      </c>
      <c r="E18" s="9" t="inlineStr">
        <is>
          <t>Complementare</t>
        </is>
      </c>
      <c r="F18" s="9" t="inlineStr">
        <is>
          <t>Continuativo</t>
        </is>
      </c>
      <c r="G18" s="13" t="inlineStr">
        <is>
          <t>P2 EDIT&amp;SOCIAL</t>
        </is>
      </c>
    </row>
    <row r="19">
      <c r="A19" s="11" t="inlineStr">
        <is>
          <t>P2.1</t>
        </is>
      </c>
      <c r="B19" s="12" t="inlineStr">
        <is>
          <t>PM &amp; Operations</t>
        </is>
      </c>
      <c r="C19" s="12" t="inlineStr">
        <is>
          <t>INCLUSO DI DEFAULT in P2.0C · ~15h/mese coordinamento + reportistica + review · ore extra on-demand su richiesta</t>
        </is>
      </c>
      <c r="D19" s="12" t="inlineStr">
        <is>
          <t>HeyAI</t>
        </is>
      </c>
      <c r="E19" s="12" t="inlineStr">
        <is>
          <t>Complementare</t>
        </is>
      </c>
      <c r="F19" s="12" t="inlineStr">
        <is>
          <t>Continuativo</t>
        </is>
      </c>
      <c r="G19" s="13" t="inlineStr">
        <is>
          <t>P2 EDIT&amp;SOCIAL</t>
        </is>
      </c>
    </row>
    <row r="20">
      <c r="A20" s="8" t="inlineStr">
        <is>
          <t>P2.A</t>
        </is>
      </c>
      <c r="B20" s="9" t="inlineStr">
        <is>
          <t>Gestione LinkedIn Academy integrata</t>
        </is>
      </c>
      <c r="C20" s="9" t="inlineStr">
        <is>
          <t>LinkedIn organic (4-8 post/mese) · LinkedIn paid setup + ottimizzazione · piano editoriale · creazione visual social card · reporting mensile · NO community management · budget media a carico cliente</t>
        </is>
      </c>
      <c r="D20" s="9" t="inlineStr">
        <is>
          <t>HeyAI</t>
        </is>
      </c>
      <c r="E20" s="9" t="inlineStr">
        <is>
          <t>Satellite</t>
        </is>
      </c>
      <c r="F20" s="9" t="inlineStr">
        <is>
          <t>Continuativo</t>
        </is>
      </c>
      <c r="G20" s="13" t="inlineStr">
        <is>
          <t>P2 EDIT&amp;SOCIAL</t>
        </is>
      </c>
    </row>
    <row r="21">
      <c r="A21" s="11" t="inlineStr">
        <is>
          <t>P2.BS</t>
        </is>
      </c>
      <c r="B21" s="12" t="inlineStr">
        <is>
          <t>Email marketing — Setup</t>
        </is>
      </c>
      <c r="C21" s="12" t="inlineStr">
        <is>
          <t>Setup piattaforma (Mailchimp/Brevo/HubSpot) · 5 segmentazioni personas · template email (newsletter + welcome drip) · 1-2 automation iniziali · documentazione + training cliente</t>
        </is>
      </c>
      <c r="D21" s="12" t="inlineStr">
        <is>
          <t>HeyAI</t>
        </is>
      </c>
      <c r="E21" s="12" t="inlineStr">
        <is>
          <t>Satellite</t>
        </is>
      </c>
      <c r="F21" s="12" t="inlineStr">
        <is>
          <t>Progetto</t>
        </is>
      </c>
      <c r="G21" s="13" t="inlineStr">
        <is>
          <t>P2 EDIT&amp;SOCIAL</t>
        </is>
      </c>
    </row>
    <row r="22">
      <c r="A22" s="8" t="inlineStr">
        <is>
          <t>P2.BC</t>
        </is>
      </c>
      <c r="B22" s="9" t="inlineStr">
        <is>
          <t>Email marketing — Continuativo</t>
        </is>
      </c>
      <c r="C22" s="9" t="inlineStr">
        <is>
          <t>Campagne segmentate per persona · drip · ottimizzazione · reporting · 5 segmentazioni · email transazionali su richiesta</t>
        </is>
      </c>
      <c r="D22" s="9" t="inlineStr">
        <is>
          <t>HeyAI</t>
        </is>
      </c>
      <c r="E22" s="9" t="inlineStr">
        <is>
          <t>Satellite</t>
        </is>
      </c>
      <c r="F22" s="9" t="inlineStr">
        <is>
          <t>Continuativo</t>
        </is>
      </c>
      <c r="G22" s="13" t="inlineStr">
        <is>
          <t>P2 EDIT&amp;SOCIAL</t>
        </is>
      </c>
    </row>
    <row r="23">
      <c r="A23" s="11" t="inlineStr">
        <is>
          <t>P2.C1</t>
        </is>
      </c>
      <c r="B23" s="12" t="inlineStr">
        <is>
          <t>Integrazione CRM (su richiesta)</t>
        </is>
      </c>
      <c r="C23" s="12" t="inlineStr">
        <is>
          <t>Integrazione tecnica form sito → CRM cliente (HubSpot/Salesforce/altro) · lead scoring · routing automatico verso commerciale</t>
        </is>
      </c>
      <c r="D23" s="12" t="inlineStr">
        <is>
          <t>HeyAI</t>
        </is>
      </c>
      <c r="E23" s="12" t="inlineStr">
        <is>
          <t>Satellite</t>
        </is>
      </c>
      <c r="F23" s="12" t="inlineStr">
        <is>
          <t>On-demand</t>
        </is>
      </c>
      <c r="G23" s="13" t="inlineStr">
        <is>
          <t>P2 EDIT&amp;SOCIAL</t>
        </is>
      </c>
    </row>
    <row r="24">
      <c r="A24" s="8" t="inlineStr">
        <is>
          <t>P2.C2</t>
        </is>
      </c>
      <c r="B24" s="9" t="inlineStr">
        <is>
          <t>Gateway pagamento corsi (su richiesta)</t>
        </is>
      </c>
      <c r="C24" s="9" t="inlineStr">
        <is>
          <t>Integrazione gateway (Stripe/PayPal) per acquisto online programmi formativi a pagamento · checkout · ricevute</t>
        </is>
      </c>
      <c r="D24" s="9" t="inlineStr">
        <is>
          <t>HeyAI</t>
        </is>
      </c>
      <c r="E24" s="9" t="inlineStr">
        <is>
          <t>Satellite</t>
        </is>
      </c>
      <c r="F24" s="9" t="inlineStr">
        <is>
          <t>On-demand</t>
        </is>
      </c>
      <c r="G24" s="13" t="inlineStr">
        <is>
          <t>P2 EDIT&amp;SOCIAL</t>
        </is>
      </c>
    </row>
    <row r="25">
      <c r="A25" s="11" t="inlineStr">
        <is>
          <t>P3.A</t>
        </is>
      </c>
      <c r="B25" s="12" t="inlineStr">
        <is>
          <t>Sviluppo contatti accademici prima ondata</t>
        </is>
      </c>
      <c r="C25" s="12" t="inlineStr">
        <is>
          <t>9 atenei IT/EU/UK (Padova · Bologna · KU Leuven · RWTH Aachen · Leibniz · TUM · Cambridge DEFI · UCL Knowledge Lab · Open University IET) · outreach · prima call · valutazione partnership</t>
        </is>
      </c>
      <c r="D25" s="12" t="inlineStr">
        <is>
          <t>FuturItaly</t>
        </is>
      </c>
      <c r="E25" s="12" t="inlineStr">
        <is>
          <t>Satellite</t>
        </is>
      </c>
      <c r="F25" s="12" t="inlineStr">
        <is>
          <t>On-demand</t>
        </is>
      </c>
      <c r="G25" s="14" t="inlineStr">
        <is>
          <t>P3 FUTURITALY</t>
        </is>
      </c>
    </row>
    <row r="26">
      <c r="A26" s="8" t="inlineStr">
        <is>
          <t>P3.B</t>
        </is>
      </c>
      <c r="B26" s="9" t="inlineStr">
        <is>
          <t>Sviluppo contatti accademici seconda ondata</t>
        </is>
      </c>
      <c r="C26" s="9" t="inlineStr">
        <is>
          <t>4 atenei USA/CN (Carnegie Mellon HCII · Georgia Tech · Beijing Normal SLI · Tsinghua THUSE)</t>
        </is>
      </c>
      <c r="D26" s="9" t="inlineStr">
        <is>
          <t>FuturItaly</t>
        </is>
      </c>
      <c r="E26" s="9" t="inlineStr">
        <is>
          <t>Satellite</t>
        </is>
      </c>
      <c r="F26" s="9" t="inlineStr">
        <is>
          <t>On-demand</t>
        </is>
      </c>
      <c r="G26" s="14" t="inlineStr">
        <is>
          <t>P3 FUTURITALY</t>
        </is>
      </c>
    </row>
    <row r="27">
      <c r="A27" s="11" t="inlineStr">
        <is>
          <t>P3.C</t>
        </is>
      </c>
      <c r="B27" s="12" t="inlineStr">
        <is>
          <t>Pre-screening + accompagnamento bandi UE</t>
        </is>
      </c>
      <c r="C27" s="12" t="inlineStr">
        <is>
          <t>5 bandi UE mappati (Horizon MSCA-Cofund · Doctoral Networks · RIA lump sum · Citizens · Erasmus+) · supporto stesura candidatura · monitoring · fino al 100% fondo perduto</t>
        </is>
      </c>
      <c r="D27" s="12" t="inlineStr">
        <is>
          <t>FuturItaly</t>
        </is>
      </c>
      <c r="E27" s="12" t="inlineStr">
        <is>
          <t>Satellite</t>
        </is>
      </c>
      <c r="F27" s="12" t="inlineStr">
        <is>
          <t>On-demand</t>
        </is>
      </c>
      <c r="G27" s="14" t="inlineStr">
        <is>
          <t>P3 FUTURITALY</t>
        </is>
      </c>
    </row>
    <row r="28">
      <c r="A28" s="8" t="inlineStr">
        <is>
          <t>P4.A</t>
        </is>
      </c>
      <c r="B28" s="9" t="inlineStr">
        <is>
          <t>Concept creativo video promo Academy</t>
        </is>
      </c>
      <c r="C28" s="9" t="inlineStr">
        <is>
          <t>Regia + storyboard · esecuzione esterna · opzionale (cliente probabilmente ha fornitore)</t>
        </is>
      </c>
      <c r="D28" s="9" t="inlineStr">
        <is>
          <t>HeyAI</t>
        </is>
      </c>
      <c r="E28" s="9" t="inlineStr">
        <is>
          <t>Satellite</t>
        </is>
      </c>
      <c r="F28" s="9" t="inlineStr">
        <is>
          <t>On-demand</t>
        </is>
      </c>
      <c r="G28" s="15" t="inlineStr">
        <is>
          <t>P4 KIT COMM</t>
        </is>
      </c>
    </row>
    <row r="29">
      <c r="A29" s="11" t="inlineStr">
        <is>
          <t>P4.B</t>
        </is>
      </c>
      <c r="B29" s="12" t="inlineStr">
        <is>
          <t>Concept design brochure presentazione</t>
        </is>
      </c>
      <c r="C29" s="12" t="inlineStr">
        <is>
          <t>Layout + impostazione grafica · stampa esterna · opzionale</t>
        </is>
      </c>
      <c r="D29" s="12" t="inlineStr">
        <is>
          <t>HeyAI</t>
        </is>
      </c>
      <c r="E29" s="12" t="inlineStr">
        <is>
          <t>Satellite</t>
        </is>
      </c>
      <c r="F29" s="12" t="inlineStr">
        <is>
          <t>On-demand</t>
        </is>
      </c>
      <c r="G29" s="15" t="inlineStr">
        <is>
          <t>P4 KIT COMM</t>
        </is>
      </c>
    </row>
    <row r="30">
      <c r="A30" s="8" t="inlineStr">
        <is>
          <t>P4.C</t>
        </is>
      </c>
      <c r="B30" s="9" t="inlineStr">
        <is>
          <t>Concept scouting gadget personalizzati</t>
        </is>
      </c>
      <c r="C30" s="9" t="inlineStr">
        <is>
          <t>Concept + scouting fornitori produzione esterna · opzionale</t>
        </is>
      </c>
      <c r="D30" s="9" t="inlineStr">
        <is>
          <t>HeyAI</t>
        </is>
      </c>
      <c r="E30" s="9" t="inlineStr">
        <is>
          <t>Satellite</t>
        </is>
      </c>
      <c r="F30" s="9" t="inlineStr">
        <is>
          <t>On-demand</t>
        </is>
      </c>
      <c r="G30" s="15" t="inlineStr">
        <is>
          <t>P4 KIT COMM</t>
        </is>
      </c>
    </row>
  </sheetData>
  <autoFilter ref="A3:G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14" customWidth="1" min="4" max="4"/>
    <col width="16" customWidth="1" min="5" max="5"/>
    <col width="18" customWidth="1" min="6" max="6"/>
    <col width="18" customWidth="1" min="7" max="7"/>
    <col width="50" customWidth="1" min="8" max="8"/>
  </cols>
  <sheetData>
    <row r="1" ht="28" customHeight="1">
      <c r="A1" s="1" t="inlineStr">
        <is>
          <t>Pricing Detail — Calcoli per ogni voce</t>
        </is>
      </c>
    </row>
    <row r="2">
      <c r="A2" s="6" t="inlineStr">
        <is>
          <t>Effort, costo, prezzo cliente. NO assunzioni FuturItaly · NO margini. Modifica solo celle gialle/blu.</t>
        </is>
      </c>
    </row>
    <row r="4" ht="32" customHeight="1">
      <c r="A4" s="7" t="inlineStr">
        <is>
          <t>Codice</t>
        </is>
      </c>
      <c r="B4" s="7" t="inlineStr">
        <is>
          <t>Servizio</t>
        </is>
      </c>
      <c r="C4" s="7" t="inlineStr">
        <is>
          <t>Effort g/u HeyAI</t>
        </is>
      </c>
      <c r="D4" s="7" t="inlineStr">
        <is>
          <t>Effort g/u FuturItaly</t>
        </is>
      </c>
      <c r="E4" s="7" t="inlineStr">
        <is>
          <t>Costo HeyAI (calc)</t>
        </is>
      </c>
      <c r="F4" s="7" t="inlineStr">
        <is>
          <t>Costo FuturItaly (TBD)</t>
        </is>
      </c>
      <c r="G4" s="7" t="inlineStr">
        <is>
          <t>Prezzo cliente proposto</t>
        </is>
      </c>
      <c r="H4" s="7" t="inlineStr">
        <is>
          <t>Note pricing</t>
        </is>
      </c>
    </row>
    <row r="5">
      <c r="A5" s="16" t="inlineStr">
        <is>
          <t>P1.0</t>
        </is>
      </c>
      <c r="B5" s="17" t="inlineStr">
        <is>
          <t>Riallineamento sito attuale</t>
        </is>
      </c>
      <c r="C5" s="18" t="n">
        <v>9</v>
      </c>
      <c r="D5" s="18" t="n">
        <v>0</v>
      </c>
      <c r="E5" s="19">
        <f>C5*'06_Variables'!$B$6</f>
        <v/>
      </c>
      <c r="F5" s="20" t="inlineStr">
        <is>
          <t>—</t>
        </is>
      </c>
      <c r="G5" s="21" t="n">
        <v>6000</v>
      </c>
      <c r="H5" s="22" t="inlineStr">
        <is>
          <t>Minimo indispensabile · copy + foto + 1-2 sezioni</t>
        </is>
      </c>
    </row>
    <row r="6">
      <c r="A6" s="23" t="inlineStr">
        <is>
          <t>P1.1</t>
        </is>
      </c>
      <c r="B6" s="24" t="inlineStr">
        <is>
          <t>Sito nuovo pubblico (Fase 2)</t>
        </is>
      </c>
      <c r="C6" s="18" t="n">
        <v>37</v>
      </c>
      <c r="D6" s="18" t="n">
        <v>0</v>
      </c>
      <c r="E6" s="25">
        <f>C6*'06_Variables'!$B$6</f>
        <v/>
      </c>
      <c r="F6" s="26" t="inlineStr">
        <is>
          <t>—</t>
        </is>
      </c>
      <c r="G6" s="21" t="n">
        <v>24000</v>
      </c>
      <c r="H6" s="27" t="inlineStr">
        <is>
          <t>Target Carlo · sfrutta architettura esistente Claude Code + AI assistance</t>
        </is>
      </c>
    </row>
    <row r="7">
      <c r="A7" s="16" t="inlineStr">
        <is>
          <t>P1.A</t>
        </is>
      </c>
      <c r="B7" s="17" t="inlineStr">
        <is>
          <t>Studio strategico CJ + analisi mercato</t>
        </is>
      </c>
      <c r="C7" s="18" t="n">
        <v>6</v>
      </c>
      <c r="D7" s="18" t="n">
        <v>0</v>
      </c>
      <c r="E7" s="19">
        <f>C7*'06_Variables'!$B$6</f>
        <v/>
      </c>
      <c r="F7" s="20" t="inlineStr">
        <is>
          <t>—</t>
        </is>
      </c>
      <c r="G7" s="21" t="n">
        <v>4000</v>
      </c>
      <c r="H7" s="22" t="inlineStr">
        <is>
          <t>Studio veloce con AI assistance · 5 personas + market analysis</t>
        </is>
      </c>
    </row>
    <row r="8">
      <c r="A8" s="23" t="inlineStr">
        <is>
          <t>P1.B</t>
        </is>
      </c>
      <c r="B8" s="24" t="inlineStr">
        <is>
          <t>4 MVP AI verticali</t>
        </is>
      </c>
      <c r="C8" s="18" t="n">
        <v>45</v>
      </c>
      <c r="D8" s="18" t="n">
        <v>0</v>
      </c>
      <c r="E8" s="25">
        <f>C8*'06_Variables'!$B$6</f>
        <v/>
      </c>
      <c r="F8" s="26" t="inlineStr">
        <is>
          <t>—</t>
        </is>
      </c>
      <c r="G8" s="21" t="n">
        <v>29000</v>
      </c>
      <c r="H8" s="27" t="inlineStr">
        <is>
          <t>Confermato Carlo · MVP LLM-based · prompt eng + UI conversazionale</t>
        </is>
      </c>
    </row>
    <row r="9">
      <c r="A9" s="16" t="inlineStr">
        <is>
          <t>P1.C.1</t>
        </is>
      </c>
      <c r="B9" s="17" t="inlineStr">
        <is>
          <t>Area Riservata Semplice</t>
        </is>
      </c>
      <c r="C9" s="18" t="n">
        <v>8</v>
      </c>
      <c r="D9" s="18" t="n">
        <v>0</v>
      </c>
      <c r="E9" s="19">
        <f>C9*'06_Variables'!$B$6</f>
        <v/>
      </c>
      <c r="F9" s="20" t="inlineStr">
        <is>
          <t>—</t>
        </is>
      </c>
      <c r="G9" s="21" t="n">
        <v>5500</v>
      </c>
      <c r="H9" s="22" t="inlineStr">
        <is>
          <t>Prezzo abbassato post-benchmark · MVP davvero minimo · login + area unica</t>
        </is>
      </c>
    </row>
    <row r="10">
      <c r="A10" s="23" t="inlineStr">
        <is>
          <t>P1.C.2</t>
        </is>
      </c>
      <c r="B10" s="24" t="inlineStr">
        <is>
          <t>Area Riservata Avanzata (upgrade)</t>
        </is>
      </c>
      <c r="C10" s="18" t="n">
        <v>17</v>
      </c>
      <c r="D10" s="18" t="n">
        <v>0</v>
      </c>
      <c r="E10" s="25">
        <f>C10*'06_Variables'!$B$6</f>
        <v/>
      </c>
      <c r="F10" s="26" t="inlineStr">
        <is>
          <t>—</t>
        </is>
      </c>
      <c r="G10" s="21" t="n">
        <v>11000</v>
      </c>
      <c r="H10" s="27" t="inlineStr">
        <is>
          <t>Prezzo abbassato post-benchmark · PLR per singolo utente · sub-aree</t>
        </is>
      </c>
    </row>
    <row r="11">
      <c r="A11" s="16" t="inlineStr">
        <is>
          <t>P1.D</t>
        </is>
      </c>
      <c r="B11" s="17" t="inlineStr">
        <is>
          <t>Community Engaged Network (3 feature MVP)</t>
        </is>
      </c>
      <c r="C11" s="18" t="n">
        <v>23</v>
      </c>
      <c r="D11" s="18" t="n">
        <v>0</v>
      </c>
      <c r="E11" s="19">
        <f>C11*'06_Variables'!$B$6</f>
        <v/>
      </c>
      <c r="F11" s="20" t="inlineStr">
        <is>
          <t>—</t>
        </is>
      </c>
      <c r="G11" s="21" t="n">
        <v>15000</v>
      </c>
      <c r="H11" s="22" t="inlineStr">
        <is>
          <t>Prezzo abbassato post-benchmark · solo HeyAI · riuso auth da P1.C · 3 feature MVP</t>
        </is>
      </c>
    </row>
    <row r="12">
      <c r="A12" s="23" t="inlineStr">
        <is>
          <t>P1.E</t>
        </is>
      </c>
      <c r="B12" s="24" t="inlineStr">
        <is>
          <t>Analytics + Dashboard interna</t>
        </is>
      </c>
      <c r="C12" s="18" t="n">
        <v>7</v>
      </c>
      <c r="D12" s="18" t="n">
        <v>0</v>
      </c>
      <c r="E12" s="25">
        <f>C12*'06_Variables'!$B$6</f>
        <v/>
      </c>
      <c r="F12" s="26" t="inlineStr">
        <is>
          <t>—</t>
        </is>
      </c>
      <c r="G12" s="21" t="n">
        <v>4500</v>
      </c>
      <c r="H12" s="27" t="inlineStr">
        <is>
          <t>Native su dati sito · no integrazioni esterne</t>
        </is>
      </c>
    </row>
    <row r="13">
      <c r="A13" s="16" t="inlineStr">
        <is>
          <t>P1.F</t>
        </is>
      </c>
      <c r="B13" s="17" t="inlineStr">
        <is>
          <t>Landing eventi pubblici (media per landing)</t>
        </is>
      </c>
      <c r="C13" s="18" t="n">
        <v>11</v>
      </c>
      <c r="D13" s="18" t="n">
        <v>0</v>
      </c>
      <c r="E13" s="19">
        <f>C13*'06_Variables'!$B$6</f>
        <v/>
      </c>
      <c r="F13" s="20" t="inlineStr">
        <is>
          <t>—</t>
        </is>
      </c>
      <c r="G13" s="21" t="n">
        <v>7500</v>
      </c>
      <c r="H13" s="22" t="inlineStr">
        <is>
          <t>Range €5-10k per landing · valore mid usato</t>
        </is>
      </c>
    </row>
    <row r="14">
      <c r="A14" s="23" t="inlineStr">
        <is>
          <t>P1.G</t>
        </is>
      </c>
      <c r="B14" s="24" t="inlineStr">
        <is>
          <t>Landing eventi interni (media per landing)</t>
        </is>
      </c>
      <c r="C14" s="18" t="n">
        <v>11</v>
      </c>
      <c r="D14" s="18" t="n">
        <v>0</v>
      </c>
      <c r="E14" s="25">
        <f>C14*'06_Variables'!$B$6</f>
        <v/>
      </c>
      <c r="F14" s="26" t="inlineStr">
        <is>
          <t>—</t>
        </is>
      </c>
      <c r="G14" s="21" t="n">
        <v>7500</v>
      </c>
      <c r="H14" s="27" t="inlineStr">
        <is>
          <t>Range €5-10k per landing · richiede P1.C attivata</t>
        </is>
      </c>
    </row>
    <row r="15">
      <c r="A15" s="16" t="inlineStr">
        <is>
          <t>P1.H</t>
        </is>
      </c>
      <c r="B15" s="17" t="inlineStr">
        <is>
          <t>SEO avanzata (una tantum)</t>
        </is>
      </c>
      <c r="C15" s="18" t="n">
        <v>8</v>
      </c>
      <c r="D15" s="18" t="n">
        <v>0</v>
      </c>
      <c r="E15" s="19">
        <f>C15*'06_Variables'!$B$6</f>
        <v/>
      </c>
      <c r="F15" s="20" t="inlineStr">
        <is>
          <t>—</t>
        </is>
      </c>
      <c r="G15" s="21" t="n">
        <v>5000</v>
      </c>
      <c r="H15" s="22" t="inlineStr">
        <is>
          <t>Una tantum · benchmark Italia</t>
        </is>
      </c>
    </row>
    <row r="16">
      <c r="A16" s="23" t="inlineStr">
        <is>
          <t>P1.J</t>
        </is>
      </c>
      <c r="B16" s="24" t="inlineStr">
        <is>
          <t>Analytics setup base GA4+Plausible</t>
        </is>
      </c>
      <c r="C16" s="18" t="n">
        <v>5</v>
      </c>
      <c r="D16" s="18" t="n">
        <v>0</v>
      </c>
      <c r="E16" s="25">
        <f>C16*'06_Variables'!$B$6</f>
        <v/>
      </c>
      <c r="F16" s="26" t="inlineStr">
        <is>
          <t>—</t>
        </is>
      </c>
      <c r="G16" s="21" t="n">
        <v>3000</v>
      </c>
      <c r="H16" s="27" t="inlineStr">
        <is>
          <t>Setup tecnico + eventi conversion</t>
        </is>
      </c>
    </row>
    <row r="17">
      <c r="A17" s="16" t="inlineStr">
        <is>
          <t>P1.K</t>
        </is>
      </c>
      <c r="B17" s="17" t="inlineStr">
        <is>
          <t>Integrazione tecnica email marketing</t>
        </is>
      </c>
      <c r="C17" s="18" t="n">
        <v>4</v>
      </c>
      <c r="D17" s="18" t="n">
        <v>0</v>
      </c>
      <c r="E17" s="19">
        <f>C17*'06_Variables'!$B$6</f>
        <v/>
      </c>
      <c r="F17" s="20" t="inlineStr">
        <is>
          <t>—</t>
        </is>
      </c>
      <c r="G17" s="21" t="n">
        <v>2500</v>
      </c>
      <c r="H17" s="22" t="inlineStr">
        <is>
          <t>Solo connessione form sito → piattaforma email</t>
        </is>
      </c>
    </row>
    <row r="18">
      <c r="A18" s="23" t="inlineStr">
        <is>
          <t>P2.0B</t>
        </is>
      </c>
      <c r="B18" s="24" t="inlineStr">
        <is>
          <t>Batch iniziale contenuti (workshop incluso)</t>
        </is>
      </c>
      <c r="C18" s="18" t="n">
        <v>15</v>
      </c>
      <c r="D18" s="18" t="n">
        <v>0</v>
      </c>
      <c r="E18" s="25">
        <f>C18*'06_Variables'!$B$6</f>
        <v/>
      </c>
      <c r="F18" s="26" t="inlineStr">
        <is>
          <t>—</t>
        </is>
      </c>
      <c r="G18" s="21" t="n">
        <v>10000</v>
      </c>
      <c r="H18" s="27" t="inlineStr">
        <is>
          <t>Range €8-12k · mid €10k · workshop + copywriting + press kit + 2 Founder Stories</t>
        </is>
      </c>
    </row>
    <row r="19">
      <c r="A19" s="16" t="inlineStr">
        <is>
          <t>P2.0C</t>
        </is>
      </c>
      <c r="B19" s="17" t="inlineStr">
        <is>
          <t>Regia Editoriale &amp; Content Creation continuativo mensile</t>
        </is>
      </c>
      <c r="C19" s="18" t="n">
        <v>5</v>
      </c>
      <c r="D19" s="18" t="n">
        <v>0</v>
      </c>
      <c r="E19" s="19">
        <f>C19*'06_Variables'!$B$6</f>
        <v/>
      </c>
      <c r="F19" s="20" t="inlineStr">
        <is>
          <t>—</t>
        </is>
      </c>
      <c r="G19" s="21" t="n">
        <v>3000</v>
      </c>
      <c r="H19" s="22" t="inlineStr">
        <is>
          <t>€3k/mese · ~5 g/mese · PM incluso · copywriting incluso</t>
        </is>
      </c>
    </row>
    <row r="20">
      <c r="A20" s="23" t="inlineStr">
        <is>
          <t>P2.1</t>
        </is>
      </c>
      <c r="B20" s="24" t="inlineStr">
        <is>
          <t>PM &amp; Operations</t>
        </is>
      </c>
      <c r="C20" s="18" t="n">
        <v>0</v>
      </c>
      <c r="D20" s="18" t="n">
        <v>0</v>
      </c>
      <c r="E20" s="28" t="inlineStr">
        <is>
          <t>—</t>
        </is>
      </c>
      <c r="F20" s="26" t="inlineStr">
        <is>
          <t>—</t>
        </is>
      </c>
      <c r="G20" s="21" t="n">
        <v>0</v>
      </c>
      <c r="H20" s="27" t="inlineStr">
        <is>
          <t>INCLUSO DI DEFAULT in P2.0C · ore extra on-demand su richiesta</t>
        </is>
      </c>
    </row>
    <row r="21">
      <c r="A21" s="16" t="inlineStr">
        <is>
          <t>P2.A</t>
        </is>
      </c>
      <c r="B21" s="17" t="inlineStr">
        <is>
          <t>Gestione LinkedIn Academy mensile</t>
        </is>
      </c>
      <c r="C21" s="18" t="n">
        <v>7</v>
      </c>
      <c r="D21" s="18" t="n">
        <v>0</v>
      </c>
      <c r="E21" s="19">
        <f>C21*'06_Variables'!$B$6</f>
        <v/>
      </c>
      <c r="F21" s="20" t="inlineStr">
        <is>
          <t>—</t>
        </is>
      </c>
      <c r="G21" s="21" t="n">
        <v>4500</v>
      </c>
      <c r="H21" s="22" t="inlineStr">
        <is>
          <t>€4.5k/mese · organic + paid · NO community management · budget media a parte</t>
        </is>
      </c>
    </row>
    <row r="22">
      <c r="A22" s="23" t="inlineStr">
        <is>
          <t>P2.BS</t>
        </is>
      </c>
      <c r="B22" s="24" t="inlineStr">
        <is>
          <t>Email marketing setup</t>
        </is>
      </c>
      <c r="C22" s="18" t="n">
        <v>5</v>
      </c>
      <c r="D22" s="18" t="n">
        <v>0</v>
      </c>
      <c r="E22" s="25">
        <f>C22*'06_Variables'!$B$6</f>
        <v/>
      </c>
      <c r="F22" s="26" t="inlineStr">
        <is>
          <t>—</t>
        </is>
      </c>
      <c r="G22" s="21" t="n">
        <v>3500</v>
      </c>
      <c r="H22" s="27" t="inlineStr">
        <is>
          <t>Setup piattaforma + segmentazione + template</t>
        </is>
      </c>
    </row>
    <row r="23">
      <c r="A23" s="16" t="inlineStr">
        <is>
          <t>P2.BC</t>
        </is>
      </c>
      <c r="B23" s="17" t="inlineStr">
        <is>
          <t>Email marketing continuativo mensile</t>
        </is>
      </c>
      <c r="C23" s="18" t="n">
        <v>2</v>
      </c>
      <c r="D23" s="18" t="n">
        <v>0</v>
      </c>
      <c r="E23" s="19">
        <f>C23*'06_Variables'!$B$6</f>
        <v/>
      </c>
      <c r="F23" s="20" t="inlineStr">
        <is>
          <t>—</t>
        </is>
      </c>
      <c r="G23" s="21" t="n">
        <v>1500</v>
      </c>
      <c r="H23" s="22" t="inlineStr">
        <is>
          <t>€1.5k/mese · campagne segmentate</t>
        </is>
      </c>
    </row>
    <row r="24">
      <c r="A24" s="23" t="inlineStr">
        <is>
          <t>P2.C1</t>
        </is>
      </c>
      <c r="B24" s="24" t="inlineStr">
        <is>
          <t>Integrazione CRM (su richiesta)</t>
        </is>
      </c>
      <c r="C24" s="29" t="inlineStr">
        <is>
          <t>TBD</t>
        </is>
      </c>
      <c r="D24" s="18" t="n">
        <v>0</v>
      </c>
      <c r="E24" s="28" t="inlineStr">
        <is>
          <t>TBD</t>
        </is>
      </c>
      <c r="F24" s="26" t="inlineStr">
        <is>
          <t>—</t>
        </is>
      </c>
      <c r="G24" s="26" t="inlineStr">
        <is>
          <t>TBD</t>
        </is>
      </c>
      <c r="H24" s="27" t="inlineStr">
        <is>
          <t>Quotato a parte su richiesta</t>
        </is>
      </c>
    </row>
    <row r="25">
      <c r="A25" s="16" t="inlineStr">
        <is>
          <t>P2.C2</t>
        </is>
      </c>
      <c r="B25" s="17" t="inlineStr">
        <is>
          <t>Gateway pagamento (su richiesta)</t>
        </is>
      </c>
      <c r="C25" s="30" t="inlineStr">
        <is>
          <t>TBD</t>
        </is>
      </c>
      <c r="D25" s="18" t="n">
        <v>0</v>
      </c>
      <c r="E25" s="31" t="inlineStr">
        <is>
          <t>TBD</t>
        </is>
      </c>
      <c r="F25" s="20" t="inlineStr">
        <is>
          <t>—</t>
        </is>
      </c>
      <c r="G25" s="20" t="inlineStr">
        <is>
          <t>TBD</t>
        </is>
      </c>
      <c r="H25" s="22" t="inlineStr">
        <is>
          <t>Quotato a parte su richiesta</t>
        </is>
      </c>
    </row>
    <row r="26">
      <c r="A26" s="23" t="inlineStr">
        <is>
          <t>P3.A</t>
        </is>
      </c>
      <c r="B26" s="24" t="inlineStr">
        <is>
          <t>Rete accademica prima ondata (9 atenei)</t>
        </is>
      </c>
      <c r="C26" s="18" t="n">
        <v>0</v>
      </c>
      <c r="D26" s="29" t="inlineStr">
        <is>
          <t>TBD</t>
        </is>
      </c>
      <c r="E26" s="28" t="inlineStr">
        <is>
          <t>—</t>
        </is>
      </c>
      <c r="F26" s="26" t="inlineStr">
        <is>
          <t>TBD</t>
        </is>
      </c>
      <c r="G26" s="26" t="inlineStr">
        <is>
          <t>TBD</t>
        </is>
      </c>
      <c r="H26" s="27" t="inlineStr">
        <is>
          <t>Quotazione fornita direttamente da FuturItaly</t>
        </is>
      </c>
    </row>
    <row r="27">
      <c r="A27" s="16" t="inlineStr">
        <is>
          <t>P3.B</t>
        </is>
      </c>
      <c r="B27" s="17" t="inlineStr">
        <is>
          <t>Rete accademica seconda ondata (4 atenei)</t>
        </is>
      </c>
      <c r="C27" s="18" t="n">
        <v>0</v>
      </c>
      <c r="D27" s="30" t="inlineStr">
        <is>
          <t>TBD</t>
        </is>
      </c>
      <c r="E27" s="31" t="inlineStr">
        <is>
          <t>—</t>
        </is>
      </c>
      <c r="F27" s="20" t="inlineStr">
        <is>
          <t>TBD</t>
        </is>
      </c>
      <c r="G27" s="20" t="inlineStr">
        <is>
          <t>TBD</t>
        </is>
      </c>
      <c r="H27" s="22" t="inlineStr">
        <is>
          <t>Quotazione fornita direttamente da FuturItaly</t>
        </is>
      </c>
    </row>
    <row r="28">
      <c r="A28" s="23" t="inlineStr">
        <is>
          <t>P3.C</t>
        </is>
      </c>
      <c r="B28" s="24" t="inlineStr">
        <is>
          <t>Bandi UE finanza agevolata (per bando)</t>
        </is>
      </c>
      <c r="C28" s="18" t="n">
        <v>0</v>
      </c>
      <c r="D28" s="29" t="inlineStr">
        <is>
          <t>TBD</t>
        </is>
      </c>
      <c r="E28" s="28" t="inlineStr">
        <is>
          <t>—</t>
        </is>
      </c>
      <c r="F28" s="26" t="inlineStr">
        <is>
          <t>TBD</t>
        </is>
      </c>
      <c r="G28" s="26" t="inlineStr">
        <is>
          <t>TBD</t>
        </is>
      </c>
      <c r="H28" s="27" t="inlineStr">
        <is>
          <t>Quotazione fornita direttamente da FuturItaly</t>
        </is>
      </c>
    </row>
    <row r="29">
      <c r="A29" s="16" t="inlineStr">
        <is>
          <t>P4.A</t>
        </is>
      </c>
      <c r="B29" s="17" t="inlineStr">
        <is>
          <t>Concept video promo</t>
        </is>
      </c>
      <c r="C29" s="30" t="inlineStr">
        <is>
          <t>TBD</t>
        </is>
      </c>
      <c r="D29" s="18" t="n">
        <v>0</v>
      </c>
      <c r="E29" s="31" t="inlineStr">
        <is>
          <t>TBD</t>
        </is>
      </c>
      <c r="F29" s="20" t="inlineStr">
        <is>
          <t>—</t>
        </is>
      </c>
      <c r="G29" s="20" t="inlineStr">
        <is>
          <t>TBD</t>
        </is>
      </c>
      <c r="H29" s="22" t="inlineStr">
        <is>
          <t>Su quotazione su richiesta</t>
        </is>
      </c>
    </row>
    <row r="30">
      <c r="A30" s="23" t="inlineStr">
        <is>
          <t>P4.B</t>
        </is>
      </c>
      <c r="B30" s="24" t="inlineStr">
        <is>
          <t>Concept brochure</t>
        </is>
      </c>
      <c r="C30" s="29" t="inlineStr">
        <is>
          <t>TBD</t>
        </is>
      </c>
      <c r="D30" s="18" t="n">
        <v>0</v>
      </c>
      <c r="E30" s="28" t="inlineStr">
        <is>
          <t>TBD</t>
        </is>
      </c>
      <c r="F30" s="26" t="inlineStr">
        <is>
          <t>—</t>
        </is>
      </c>
      <c r="G30" s="26" t="inlineStr">
        <is>
          <t>TBD</t>
        </is>
      </c>
      <c r="H30" s="27" t="inlineStr">
        <is>
          <t>Su quotazione su richiesta</t>
        </is>
      </c>
    </row>
    <row r="31">
      <c r="A31" s="16" t="inlineStr">
        <is>
          <t>P4.C</t>
        </is>
      </c>
      <c r="B31" s="17" t="inlineStr">
        <is>
          <t>Concept scouting gadget</t>
        </is>
      </c>
      <c r="C31" s="30" t="inlineStr">
        <is>
          <t>TBD</t>
        </is>
      </c>
      <c r="D31" s="18" t="n">
        <v>0</v>
      </c>
      <c r="E31" s="31" t="inlineStr">
        <is>
          <t>TBD</t>
        </is>
      </c>
      <c r="F31" s="20" t="inlineStr">
        <is>
          <t>—</t>
        </is>
      </c>
      <c r="G31" s="20" t="inlineStr">
        <is>
          <t>TBD</t>
        </is>
      </c>
      <c r="H31" s="22" t="inlineStr">
        <is>
          <t>Su quotazione su richiesta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20" customWidth="1" min="3" max="3"/>
    <col width="24" customWidth="1" min="4" max="4"/>
    <col width="38" customWidth="1" min="5" max="5"/>
  </cols>
  <sheetData>
    <row r="1" ht="28" customHeight="1">
      <c r="A1" s="1" t="inlineStr">
        <is>
          <t>Pacchetti Commerciali — struttura di vendita finale</t>
        </is>
      </c>
    </row>
    <row r="2">
      <c r="A2" s="6" t="inlineStr">
        <is>
          <t>4 pacchetti: P1 SITO · P2 EDIT&amp;SOCIAL · P3 FUTURITALY · P4 KIT</t>
        </is>
      </c>
    </row>
    <row r="4">
      <c r="A4" s="32" t="inlineStr">
        <is>
          <t>P1 — SITO WEB</t>
        </is>
      </c>
    </row>
    <row r="5" ht="32" customHeight="1">
      <c r="A5" s="7" t="inlineStr">
        <is>
          <t>Codice</t>
        </is>
      </c>
      <c r="B5" s="7" t="inlineStr">
        <is>
          <t>Voce</t>
        </is>
      </c>
      <c r="C5" s="7" t="inlineStr">
        <is>
          <t>Tipologia</t>
        </is>
      </c>
      <c r="D5" s="7" t="inlineStr">
        <is>
          <t>Prezzo proposto</t>
        </is>
      </c>
      <c r="E5" s="7" t="inlineStr">
        <is>
          <t>Note</t>
        </is>
      </c>
    </row>
    <row r="6">
      <c r="A6" s="33" t="inlineStr">
        <is>
          <t>Nucleo (alternative)</t>
        </is>
      </c>
    </row>
    <row r="7">
      <c r="A7" s="34" t="inlineStr">
        <is>
          <t>P1.0</t>
        </is>
      </c>
      <c r="B7" s="17" t="inlineStr">
        <is>
          <t>Riallineamento sito attuale</t>
        </is>
      </c>
      <c r="C7" s="17" t="inlineStr">
        <is>
          <t>Progetto Fase 1</t>
        </is>
      </c>
      <c r="D7" s="35" t="inlineStr">
        <is>
          <t>€ 6.000</t>
        </is>
      </c>
      <c r="E7" s="17" t="inlineStr">
        <is>
          <t>Entry minimo · pre-Festival Trento</t>
        </is>
      </c>
    </row>
    <row r="8">
      <c r="A8" s="34" t="inlineStr">
        <is>
          <t>P1.1</t>
        </is>
      </c>
      <c r="B8" s="17" t="inlineStr">
        <is>
          <t>Sito web pubblico nuovo (Fase 2)</t>
        </is>
      </c>
      <c r="C8" s="17" t="inlineStr">
        <is>
          <t>Progetto Fase 2</t>
        </is>
      </c>
      <c r="D8" s="35" t="inlineStr">
        <is>
          <t>€ 24.000</t>
        </is>
      </c>
      <c r="E8" s="17" t="inlineStr">
        <is>
          <t>NUCLEO sito · 2-3 mesi delivery</t>
        </is>
      </c>
    </row>
    <row r="9">
      <c r="A9" s="33" t="inlineStr">
        <is>
          <t>Add-on modulari</t>
        </is>
      </c>
    </row>
    <row r="10">
      <c r="A10" s="34" t="inlineStr">
        <is>
          <t>P1.A</t>
        </is>
      </c>
      <c r="B10" s="17" t="inlineStr">
        <is>
          <t>Studio strategico CJ + analisi mercato</t>
        </is>
      </c>
      <c r="C10" s="17" t="inlineStr">
        <is>
          <t>Pre-F2</t>
        </is>
      </c>
      <c r="D10" s="35" t="inlineStr">
        <is>
          <t>€ 4.000</t>
        </is>
      </c>
      <c r="E10" s="17" t="inlineStr">
        <is>
          <t>Prerequisito raccomandato se P1.1</t>
        </is>
      </c>
    </row>
    <row r="11">
      <c r="A11" s="34" t="inlineStr">
        <is>
          <t>P1.B</t>
        </is>
      </c>
      <c r="B11" s="17" t="inlineStr">
        <is>
          <t>4 MVP Intelligenza Artificiale</t>
        </is>
      </c>
      <c r="C11" s="17" t="inlineStr">
        <is>
          <t>F2</t>
        </is>
      </c>
      <c r="D11" s="35" t="inlineStr">
        <is>
          <t>€ 29.000</t>
        </is>
      </c>
      <c r="E11" s="17" t="inlineStr"/>
    </row>
    <row r="12">
      <c r="A12" s="34" t="inlineStr">
        <is>
          <t>P1.C.1</t>
        </is>
      </c>
      <c r="B12" s="17" t="inlineStr">
        <is>
          <t>Area Riservata Semplice</t>
        </is>
      </c>
      <c r="C12" s="17" t="inlineStr">
        <is>
          <t>F2</t>
        </is>
      </c>
      <c r="D12" s="35" t="inlineStr">
        <is>
          <t>€ 5.500</t>
        </is>
      </c>
      <c r="E12" s="17" t="inlineStr">
        <is>
          <t>Login + area unica</t>
        </is>
      </c>
    </row>
    <row r="13">
      <c r="A13" s="34" t="inlineStr">
        <is>
          <t>P1.C.2</t>
        </is>
      </c>
      <c r="B13" s="17" t="inlineStr">
        <is>
          <t>Area Riservata Avanzata (upgrade)</t>
        </is>
      </c>
      <c r="C13" s="17" t="inlineStr">
        <is>
          <t>F2</t>
        </is>
      </c>
      <c r="D13" s="35" t="inlineStr">
        <is>
          <t>€ 11.000</t>
        </is>
      </c>
      <c r="E13" s="17" t="inlineStr">
        <is>
          <t>PLR per singolo utente · richiede C.1</t>
        </is>
      </c>
    </row>
    <row r="14">
      <c r="A14" s="34" t="inlineStr">
        <is>
          <t>P1.D</t>
        </is>
      </c>
      <c r="B14" s="17" t="inlineStr">
        <is>
          <t>Community Engaged Network</t>
        </is>
      </c>
      <c r="C14" s="17" t="inlineStr">
        <is>
          <t>F3 Q1 2027</t>
        </is>
      </c>
      <c r="D14" s="35" t="inlineStr">
        <is>
          <t>€ 15.000</t>
        </is>
      </c>
      <c r="E14" s="17" t="inlineStr">
        <is>
          <t>3 feature MVP · riuso auth</t>
        </is>
      </c>
    </row>
    <row r="15">
      <c r="A15" s="34" t="inlineStr">
        <is>
          <t>P1.E</t>
        </is>
      </c>
      <c r="B15" s="17" t="inlineStr">
        <is>
          <t>Analytics + Dashboard interna</t>
        </is>
      </c>
      <c r="C15" s="17" t="inlineStr">
        <is>
          <t>F2</t>
        </is>
      </c>
      <c r="D15" s="35" t="inlineStr">
        <is>
          <t>€ 4.500</t>
        </is>
      </c>
      <c r="E15" s="17" t="inlineStr">
        <is>
          <t>Native dati sito</t>
        </is>
      </c>
    </row>
    <row r="16">
      <c r="A16" s="34" t="inlineStr">
        <is>
          <t>P1.F</t>
        </is>
      </c>
      <c r="B16" s="17" t="inlineStr">
        <is>
          <t>Landing eventi pubblici</t>
        </is>
      </c>
      <c r="C16" s="17" t="inlineStr">
        <is>
          <t>On-demand</t>
        </is>
      </c>
      <c r="D16" s="35" t="inlineStr">
        <is>
          <t>€ 5.000-10.000 cad</t>
        </is>
      </c>
      <c r="E16" s="17" t="inlineStr">
        <is>
          <t>Range per landing</t>
        </is>
      </c>
    </row>
    <row r="17">
      <c r="A17" s="34" t="inlineStr">
        <is>
          <t>P1.G</t>
        </is>
      </c>
      <c r="B17" s="17" t="inlineStr">
        <is>
          <t>Landing eventi interni</t>
        </is>
      </c>
      <c r="C17" s="17" t="inlineStr">
        <is>
          <t>On-demand</t>
        </is>
      </c>
      <c r="D17" s="35" t="inlineStr">
        <is>
          <t>€ 5.000-10.000 cad</t>
        </is>
      </c>
      <c r="E17" s="17" t="inlineStr">
        <is>
          <t>Richiede P1.C</t>
        </is>
      </c>
    </row>
    <row r="18">
      <c r="A18" s="34" t="inlineStr">
        <is>
          <t>P1.H</t>
        </is>
      </c>
      <c r="B18" s="17" t="inlineStr">
        <is>
          <t>SEO avanzata + topic authority</t>
        </is>
      </c>
      <c r="C18" s="17" t="inlineStr">
        <is>
          <t>Add-on</t>
        </is>
      </c>
      <c r="D18" s="35" t="inlineStr">
        <is>
          <t>€ 5.000</t>
        </is>
      </c>
      <c r="E18" s="17" t="inlineStr">
        <is>
          <t>Una tantum</t>
        </is>
      </c>
    </row>
    <row r="19">
      <c r="A19" s="34" t="inlineStr">
        <is>
          <t>P1.J</t>
        </is>
      </c>
      <c r="B19" s="17" t="inlineStr">
        <is>
          <t>Analytics setup GA4+Plausible</t>
        </is>
      </c>
      <c r="C19" s="17" t="inlineStr">
        <is>
          <t>Add-on</t>
        </is>
      </c>
      <c r="D19" s="35" t="inlineStr">
        <is>
          <t>€ 3.000</t>
        </is>
      </c>
      <c r="E19" s="17" t="inlineStr"/>
    </row>
    <row r="20">
      <c r="A20" s="34" t="inlineStr">
        <is>
          <t>P1.K</t>
        </is>
      </c>
      <c r="B20" s="17" t="inlineStr">
        <is>
          <t>Integrazione email marketing</t>
        </is>
      </c>
      <c r="C20" s="17" t="inlineStr">
        <is>
          <t>Add-on</t>
        </is>
      </c>
      <c r="D20" s="35" t="inlineStr">
        <is>
          <t>€ 2.500</t>
        </is>
      </c>
      <c r="E20" s="17" t="inlineStr">
        <is>
          <t>Tecnica · solo collegamento</t>
        </is>
      </c>
    </row>
    <row r="22">
      <c r="A22" s="32" t="inlineStr">
        <is>
          <t>P2 — EDITORIALE, SOCIAL &amp; OPERATIONS</t>
        </is>
      </c>
    </row>
    <row r="23" ht="32" customHeight="1">
      <c r="A23" s="7" t="inlineStr">
        <is>
          <t>Codice</t>
        </is>
      </c>
      <c r="B23" s="7" t="inlineStr">
        <is>
          <t>Voce</t>
        </is>
      </c>
      <c r="C23" s="7" t="inlineStr">
        <is>
          <t>Tipologia</t>
        </is>
      </c>
      <c r="D23" s="7" t="inlineStr">
        <is>
          <t>Prezzo proposto</t>
        </is>
      </c>
      <c r="E23" s="7" t="inlineStr">
        <is>
          <t>Note</t>
        </is>
      </c>
    </row>
    <row r="24">
      <c r="A24" s="33" t="inlineStr">
        <is>
          <t>Nucleo</t>
        </is>
      </c>
    </row>
    <row r="25">
      <c r="A25" s="34" t="inlineStr">
        <is>
          <t>P2.0B</t>
        </is>
      </c>
      <c r="B25" s="17" t="inlineStr">
        <is>
          <t>Batch iniziale contenuti (workshop incluso)</t>
        </is>
      </c>
      <c r="C25" s="17" t="inlineStr">
        <is>
          <t>Progetto una tantum</t>
        </is>
      </c>
      <c r="D25" s="35" t="inlineStr">
        <is>
          <t>€ 8.000-12.000</t>
        </is>
      </c>
      <c r="E25" s="17" t="inlineStr">
        <is>
          <t>Range · mid €10k</t>
        </is>
      </c>
    </row>
    <row r="26">
      <c r="A26" s="34" t="inlineStr">
        <is>
          <t>P2.0C</t>
        </is>
      </c>
      <c r="B26" s="17" t="inlineStr">
        <is>
          <t>Regia Editoriale &amp; Content Creation continuativo</t>
        </is>
      </c>
      <c r="C26" s="17" t="inlineStr">
        <is>
          <t>Canone mensile</t>
        </is>
      </c>
      <c r="D26" s="35" t="inlineStr">
        <is>
          <t>€ 3.000/mese</t>
        </is>
      </c>
      <c r="E26" s="17" t="inlineStr">
        <is>
          <t>Copywriting incluso · PM incluso</t>
        </is>
      </c>
    </row>
    <row r="27">
      <c r="A27" s="34" t="inlineStr">
        <is>
          <t>P2.1</t>
        </is>
      </c>
      <c r="B27" s="17" t="inlineStr">
        <is>
          <t>PM &amp; Operations</t>
        </is>
      </c>
      <c r="C27" s="17" t="inlineStr">
        <is>
          <t>Default</t>
        </is>
      </c>
      <c r="D27" s="35" t="inlineStr">
        <is>
          <t>INCLUSO</t>
        </is>
      </c>
      <c r="E27" s="17" t="inlineStr">
        <is>
          <t>Compreso in P2.0C (~15h/mese)</t>
        </is>
      </c>
    </row>
    <row r="28">
      <c r="A28" s="33" t="inlineStr">
        <is>
          <t>Add-on continuativi</t>
        </is>
      </c>
    </row>
    <row r="29">
      <c r="A29" s="34" t="inlineStr">
        <is>
          <t>P2.A</t>
        </is>
      </c>
      <c r="B29" s="17" t="inlineStr">
        <is>
          <t>Gestione LinkedIn Academy (organic+paid)</t>
        </is>
      </c>
      <c r="C29" s="17" t="inlineStr">
        <is>
          <t>Canone mensile</t>
        </is>
      </c>
      <c r="D29" s="35" t="inlineStr">
        <is>
          <t>€ 4.500/mese</t>
        </is>
      </c>
      <c r="E29" s="17" t="inlineStr">
        <is>
          <t>Budget media a parte cliente</t>
        </is>
      </c>
    </row>
    <row r="30">
      <c r="A30" s="34" t="inlineStr">
        <is>
          <t>P2.BS</t>
        </is>
      </c>
      <c r="B30" s="17" t="inlineStr">
        <is>
          <t>Email marketing — Setup</t>
        </is>
      </c>
      <c r="C30" s="17" t="inlineStr">
        <is>
          <t>Una tantum</t>
        </is>
      </c>
      <c r="D30" s="35" t="inlineStr">
        <is>
          <t>€ 3.500</t>
        </is>
      </c>
      <c r="E30" s="17" t="inlineStr"/>
    </row>
    <row r="31">
      <c r="A31" s="34" t="inlineStr">
        <is>
          <t>P2.BC</t>
        </is>
      </c>
      <c r="B31" s="17" t="inlineStr">
        <is>
          <t>Email marketing — Continuativo</t>
        </is>
      </c>
      <c r="C31" s="17" t="inlineStr">
        <is>
          <t>Canone mensile</t>
        </is>
      </c>
      <c r="D31" s="35" t="inlineStr">
        <is>
          <t>€ 1.500/mese</t>
        </is>
      </c>
      <c r="E31" s="17" t="inlineStr"/>
    </row>
    <row r="32">
      <c r="A32" s="33" t="inlineStr">
        <is>
          <t>Su richiesta</t>
        </is>
      </c>
    </row>
    <row r="33">
      <c r="A33" s="34" t="inlineStr">
        <is>
          <t>P2.C1</t>
        </is>
      </c>
      <c r="B33" s="17" t="inlineStr">
        <is>
          <t>Integrazione CRM</t>
        </is>
      </c>
      <c r="C33" s="17" t="inlineStr">
        <is>
          <t>On-demand</t>
        </is>
      </c>
      <c r="D33" s="35" t="inlineStr">
        <is>
          <t>Su quotazione</t>
        </is>
      </c>
      <c r="E33" s="17" t="inlineStr"/>
    </row>
    <row r="34">
      <c r="A34" s="34" t="inlineStr">
        <is>
          <t>P2.C2</t>
        </is>
      </c>
      <c r="B34" s="17" t="inlineStr">
        <is>
          <t>Gateway pagamento corsi</t>
        </is>
      </c>
      <c r="C34" s="17" t="inlineStr">
        <is>
          <t>On-demand</t>
        </is>
      </c>
      <c r="D34" s="35" t="inlineStr">
        <is>
          <t>Su quotazione</t>
        </is>
      </c>
      <c r="E34" s="17" t="inlineStr"/>
    </row>
    <row r="36">
      <c r="A36" s="32" t="inlineStr">
        <is>
          <t>P3 — RETE ACCADEMICA &amp; FINANZA AGEVOLATA (FuturItaly)</t>
        </is>
      </c>
    </row>
    <row r="37" ht="32" customHeight="1">
      <c r="A37" s="7" t="inlineStr">
        <is>
          <t>Codice</t>
        </is>
      </c>
      <c r="B37" s="7" t="inlineStr">
        <is>
          <t>Voce</t>
        </is>
      </c>
      <c r="C37" s="7" t="inlineStr">
        <is>
          <t>Tipologia</t>
        </is>
      </c>
      <c r="D37" s="7" t="inlineStr">
        <is>
          <t>Prezzo proposto</t>
        </is>
      </c>
      <c r="E37" s="7" t="inlineStr">
        <is>
          <t>Note</t>
        </is>
      </c>
    </row>
    <row r="38">
      <c r="A38" s="34" t="inlineStr">
        <is>
          <t>P3.A</t>
        </is>
      </c>
      <c r="B38" s="17" t="inlineStr">
        <is>
          <t>Sviluppo contatti accademici — prima ondata</t>
        </is>
      </c>
      <c r="C38" s="17" t="inlineStr">
        <is>
          <t>On-demand</t>
        </is>
      </c>
      <c r="D38" s="36" t="inlineStr">
        <is>
          <t>TBD FuturItaly</t>
        </is>
      </c>
      <c r="E38" s="17" t="inlineStr">
        <is>
          <t>9 atenei IT/EU/UK</t>
        </is>
      </c>
    </row>
    <row r="39">
      <c r="A39" s="34" t="inlineStr">
        <is>
          <t>P3.B</t>
        </is>
      </c>
      <c r="B39" s="17" t="inlineStr">
        <is>
          <t>Sviluppo contatti accademici — seconda ondata</t>
        </is>
      </c>
      <c r="C39" s="17" t="inlineStr">
        <is>
          <t>On-demand</t>
        </is>
      </c>
      <c r="D39" s="36" t="inlineStr">
        <is>
          <t>TBD FuturItaly</t>
        </is>
      </c>
      <c r="E39" s="17" t="inlineStr">
        <is>
          <t>4 atenei USA/CN · post 12 mesi</t>
        </is>
      </c>
    </row>
    <row r="40">
      <c r="A40" s="34" t="inlineStr">
        <is>
          <t>P3.C</t>
        </is>
      </c>
      <c r="B40" s="17" t="inlineStr">
        <is>
          <t>Pre-screening + accompagnamento bandi UE</t>
        </is>
      </c>
      <c r="C40" s="17" t="inlineStr">
        <is>
          <t>On-demand</t>
        </is>
      </c>
      <c r="D40" s="36" t="inlineStr">
        <is>
          <t>TBD FuturItaly</t>
        </is>
      </c>
      <c r="E40" s="17" t="inlineStr">
        <is>
          <t>Per bando · 5 bandi mappati · fino 100% fondo perduto</t>
        </is>
      </c>
    </row>
    <row r="42">
      <c r="A42" s="32" t="inlineStr">
        <is>
          <t>P4 — KIT COMUNICAZIONE ESTERNA (opzionale)</t>
        </is>
      </c>
    </row>
    <row r="43" ht="32" customHeight="1">
      <c r="A43" s="7" t="inlineStr">
        <is>
          <t>Codice</t>
        </is>
      </c>
      <c r="B43" s="7" t="inlineStr">
        <is>
          <t>Voce</t>
        </is>
      </c>
      <c r="C43" s="7" t="inlineStr">
        <is>
          <t>Tipologia</t>
        </is>
      </c>
      <c r="D43" s="7" t="inlineStr">
        <is>
          <t>Prezzo proposto</t>
        </is>
      </c>
      <c r="E43" s="7" t="inlineStr">
        <is>
          <t>Note</t>
        </is>
      </c>
    </row>
    <row r="44">
      <c r="A44" s="34" t="inlineStr">
        <is>
          <t>P4.A</t>
        </is>
      </c>
      <c r="B44" s="17" t="inlineStr">
        <is>
          <t>Concept video promo Academy</t>
        </is>
      </c>
      <c r="C44" s="17" t="inlineStr">
        <is>
          <t>On-demand</t>
        </is>
      </c>
      <c r="D44" s="37" t="inlineStr">
        <is>
          <t>Su quotazione su richiesta</t>
        </is>
      </c>
      <c r="E44" s="17" t="inlineStr">
        <is>
          <t>Cliente forse ha fornitore</t>
        </is>
      </c>
    </row>
    <row r="45">
      <c r="A45" s="34" t="inlineStr">
        <is>
          <t>P4.B</t>
        </is>
      </c>
      <c r="B45" s="17" t="inlineStr">
        <is>
          <t>Concept design brochure</t>
        </is>
      </c>
      <c r="C45" s="17" t="inlineStr">
        <is>
          <t>On-demand</t>
        </is>
      </c>
      <c r="D45" s="37" t="inlineStr">
        <is>
          <t>Su quotazione su richiesta</t>
        </is>
      </c>
      <c r="E45" s="17" t="inlineStr">
        <is>
          <t>Cliente forse ha fornitore</t>
        </is>
      </c>
    </row>
    <row r="46">
      <c r="A46" s="34" t="inlineStr">
        <is>
          <t>P4.C</t>
        </is>
      </c>
      <c r="B46" s="17" t="inlineStr">
        <is>
          <t>Concept scouting gadget</t>
        </is>
      </c>
      <c r="C46" s="17" t="inlineStr">
        <is>
          <t>On-demand</t>
        </is>
      </c>
      <c r="D46" s="37" t="inlineStr">
        <is>
          <t>Su quotazione su richiesta</t>
        </is>
      </c>
      <c r="E46" s="17" t="inlineStr">
        <is>
          <t>Cliente forse ha fornitore</t>
        </is>
      </c>
    </row>
  </sheetData>
  <mergeCells count="5">
    <mergeCell ref="A24:E24"/>
    <mergeCell ref="A28:E28"/>
    <mergeCell ref="A32:E32"/>
    <mergeCell ref="A6:E6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35" customWidth="1" min="3" max="3"/>
    <col width="22" customWidth="1" min="4" max="4"/>
  </cols>
  <sheetData>
    <row r="1" ht="28" customHeight="1">
      <c r="A1" s="1" t="inlineStr">
        <is>
          <t>Bundle &amp; Sconti — logica commerciale</t>
        </is>
      </c>
    </row>
    <row r="2">
      <c r="A2" s="6" t="inlineStr">
        <is>
          <t>Tutti gli sconti modificabili in 06_Variables.</t>
        </is>
      </c>
    </row>
    <row r="4">
      <c r="A4" s="32" t="inlineStr">
        <is>
          <t>BUNDLE COMPLETO 1+2+3 (sito + community)</t>
        </is>
      </c>
    </row>
    <row r="5" ht="32" customHeight="1">
      <c r="A5" s="7" t="inlineStr">
        <is>
          <t>Voce</t>
        </is>
      </c>
      <c r="B5" s="7" t="inlineStr">
        <is>
          <t>Prezzo base</t>
        </is>
      </c>
      <c r="C5" s="7" t="inlineStr">
        <is>
          <t>Sconto</t>
        </is>
      </c>
      <c r="D5" s="7" t="inlineStr">
        <is>
          <t>Prezzo finale</t>
        </is>
      </c>
    </row>
    <row r="6">
      <c r="A6" s="38" t="inlineStr">
        <is>
          <t>Fase 1 Riallineamento (P1.0)</t>
        </is>
      </c>
      <c r="B6" s="39" t="n">
        <v>6000</v>
      </c>
      <c r="C6" s="40" t="n">
        <v>0</v>
      </c>
      <c r="D6" s="41">
        <f>B6*(1-C6)</f>
        <v/>
      </c>
    </row>
    <row r="7">
      <c r="A7" s="38" t="inlineStr">
        <is>
          <t>Fase 2 Sito nuovo (P1.1) − 5% bundle 1+2</t>
        </is>
      </c>
      <c r="B7" s="39" t="n">
        <v>24000</v>
      </c>
      <c r="C7" s="42">
        <f>'06_Variables'!$B$9</f>
        <v/>
      </c>
      <c r="D7" s="41">
        <f>B7*(1-C7)</f>
        <v/>
      </c>
    </row>
    <row r="8">
      <c r="A8" s="38" t="inlineStr">
        <is>
          <t>Fase 3 Community (P1.D) − 10% bundle completo</t>
        </is>
      </c>
      <c r="B8" s="39" t="n">
        <v>15000</v>
      </c>
      <c r="C8" s="42">
        <f>'06_Variables'!$B$10</f>
        <v/>
      </c>
      <c r="D8" s="41">
        <f>B8*(1-C8)</f>
        <v/>
      </c>
    </row>
    <row r="9">
      <c r="A9" s="43" t="inlineStr">
        <is>
          <t>TOTALE Bundle Completo F1+F2+F3</t>
        </is>
      </c>
      <c r="B9" s="44">
        <f>SUM(B6:B8)</f>
        <v/>
      </c>
      <c r="C9" s="45" t="n"/>
      <c r="D9" s="46">
        <f>SUM(D6:D8)</f>
        <v/>
      </c>
    </row>
    <row r="10">
      <c r="A10" s="38" t="inlineStr">
        <is>
          <t>Risparmio vs fasi sciolte</t>
        </is>
      </c>
      <c r="B10" s="45" t="n"/>
      <c r="C10" s="45" t="n"/>
      <c r="D10" s="47">
        <f>B9-D9</f>
        <v/>
      </c>
    </row>
    <row r="12">
      <c r="A12" s="32" t="inlineStr">
        <is>
          <t>SCONTI VOLUME ADD-ON P1</t>
        </is>
      </c>
    </row>
    <row r="13" ht="32" customHeight="1">
      <c r="A13" s="7" t="inlineStr">
        <is>
          <t>N add-on</t>
        </is>
      </c>
      <c r="B13" s="7" t="inlineStr">
        <is>
          <t>Sconto applicato</t>
        </is>
      </c>
      <c r="C13" s="7" t="inlineStr">
        <is>
          <t>Esempio</t>
        </is>
      </c>
    </row>
    <row r="14">
      <c r="A14" s="38" t="n">
        <v>1</v>
      </c>
      <c r="B14" s="40" t="n">
        <v>0</v>
      </c>
      <c r="C14" s="48" t="inlineStr">
        <is>
          <t>Add-on a prezzo pieno</t>
        </is>
      </c>
    </row>
    <row r="15">
      <c r="A15" s="38" t="n">
        <v>2</v>
      </c>
      <c r="B15" s="40" t="n">
        <v>0</v>
      </c>
      <c r="C15" s="48" t="inlineStr">
        <is>
          <t>Add-on a prezzo pieno</t>
        </is>
      </c>
    </row>
    <row r="16">
      <c r="A16" s="38" t="n">
        <v>3</v>
      </c>
      <c r="B16" s="42">
        <f>'06_Variables'!$B$14</f>
        <v/>
      </c>
      <c r="C16" s="48" t="inlineStr">
        <is>
          <t>−5% su tutti gli add-on scelti</t>
        </is>
      </c>
    </row>
    <row r="17">
      <c r="A17" s="38" t="inlineStr">
        <is>
          <t>4+</t>
        </is>
      </c>
      <c r="B17" s="42">
        <f>'06_Variables'!$B$15</f>
        <v/>
      </c>
      <c r="C17" s="48" t="inlineStr">
        <is>
          <t>−10% su tutti gli add-on scelti</t>
        </is>
      </c>
    </row>
    <row r="18">
      <c r="A18" s="38" t="inlineStr">
        <is>
          <t>Tutti</t>
        </is>
      </c>
      <c r="B18" s="42">
        <f>'06_Variables'!$B$16</f>
        <v/>
      </c>
      <c r="C18" s="48" t="inlineStr">
        <is>
          <t>−15% bundle ecosistema completo</t>
        </is>
      </c>
    </row>
    <row r="20">
      <c r="A20" s="32" t="inlineStr">
        <is>
          <t>SCONTI LOCK-IN CONTINUATIVI P2</t>
        </is>
      </c>
    </row>
    <row r="21" ht="32" customHeight="1">
      <c r="A21" s="7" t="inlineStr">
        <is>
          <t>Durata impegno</t>
        </is>
      </c>
      <c r="B21" s="7" t="inlineStr">
        <is>
          <t>Sconto sul canone mensile</t>
        </is>
      </c>
      <c r="C21" s="7" t="inlineStr">
        <is>
          <t>Note</t>
        </is>
      </c>
    </row>
    <row r="22">
      <c r="A22" s="38" t="inlineStr">
        <is>
          <t>6 mesi (min raccomandato)</t>
        </is>
      </c>
      <c r="B22" s="40" t="n">
        <v>0</v>
      </c>
      <c r="C22" s="48" t="inlineStr">
        <is>
          <t>Nessuno sconto · vincolo minimo</t>
        </is>
      </c>
    </row>
    <row r="23">
      <c r="A23" s="38" t="inlineStr">
        <is>
          <t>12 mesi</t>
        </is>
      </c>
      <c r="B23" s="42">
        <f>'06_Variables'!$B$19</f>
        <v/>
      </c>
      <c r="C23" s="48" t="inlineStr">
        <is>
          <t>−5% su canone</t>
        </is>
      </c>
    </row>
    <row r="24">
      <c r="A24" s="38" t="inlineStr">
        <is>
          <t>24 mesi</t>
        </is>
      </c>
      <c r="B24" s="42">
        <f>'06_Variables'!$B$20</f>
        <v/>
      </c>
      <c r="C24" s="48" t="inlineStr">
        <is>
          <t>−10% su canone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Scenari di Vendita — 3 livelli + selector custom</t>
        </is>
      </c>
    </row>
    <row r="2">
      <c r="A2" s="6" t="inlineStr">
        <is>
          <t>Scenari su 12 mesi · per scenario custom usa colonna 'Custom' con 1/0</t>
        </is>
      </c>
    </row>
    <row r="4" ht="32" customHeight="1">
      <c r="A4" s="7" t="inlineStr">
        <is>
          <t>Voce</t>
        </is>
      </c>
      <c r="B4" s="7" t="inlineStr">
        <is>
          <t>Prezzo unitario</t>
        </is>
      </c>
      <c r="C4" s="7" t="inlineStr">
        <is>
          <t>Entry</t>
        </is>
      </c>
      <c r="D4" s="7" t="inlineStr">
        <is>
          <t>Standard</t>
        </is>
      </c>
      <c r="E4" s="7" t="inlineStr">
        <is>
          <t>Premium</t>
        </is>
      </c>
      <c r="F4" s="7" t="inlineStr">
        <is>
          <t>Custom (1/0)</t>
        </is>
      </c>
    </row>
    <row r="5">
      <c r="A5" s="17" t="inlineStr">
        <is>
          <t>P1.0 — Riallineamento sito attuale</t>
        </is>
      </c>
      <c r="B5" s="49" t="n">
        <v>6000</v>
      </c>
      <c r="C5" s="50" t="n">
        <v>1</v>
      </c>
      <c r="D5" s="50" t="n">
        <v>1</v>
      </c>
      <c r="E5" s="50" t="n">
        <v>1</v>
      </c>
      <c r="F5" s="51" t="n">
        <v>1</v>
      </c>
    </row>
    <row r="6">
      <c r="A6" s="17" t="inlineStr">
        <is>
          <t>P1.1 — Sito nuovo pubblico (Fase 2)</t>
        </is>
      </c>
      <c r="B6" s="49" t="n">
        <v>24000</v>
      </c>
      <c r="C6" s="50" t="n">
        <v>0</v>
      </c>
      <c r="D6" s="50" t="n">
        <v>1</v>
      </c>
      <c r="E6" s="50" t="n">
        <v>1</v>
      </c>
      <c r="F6" s="51" t="n">
        <v>0</v>
      </c>
    </row>
    <row r="7">
      <c r="A7" s="17" t="inlineStr">
        <is>
          <t>P1.A — Studio strategico CJ</t>
        </is>
      </c>
      <c r="B7" s="49" t="n">
        <v>4000</v>
      </c>
      <c r="C7" s="50" t="n">
        <v>0</v>
      </c>
      <c r="D7" s="50" t="n">
        <v>1</v>
      </c>
      <c r="E7" s="50" t="n">
        <v>1</v>
      </c>
      <c r="F7" s="51" t="n">
        <v>0</v>
      </c>
    </row>
    <row r="8">
      <c r="A8" s="17" t="inlineStr">
        <is>
          <t>P1.B — 4 MVP Intelligenza Artificiale</t>
        </is>
      </c>
      <c r="B8" s="49" t="n">
        <v>29000</v>
      </c>
      <c r="C8" s="50" t="n">
        <v>0</v>
      </c>
      <c r="D8" s="50" t="n">
        <v>1</v>
      </c>
      <c r="E8" s="50" t="n">
        <v>1</v>
      </c>
      <c r="F8" s="51" t="n">
        <v>0</v>
      </c>
    </row>
    <row r="9">
      <c r="A9" s="17" t="inlineStr">
        <is>
          <t>P1.C.1 — Area Riservata Semplice</t>
        </is>
      </c>
      <c r="B9" s="49" t="n">
        <v>5500</v>
      </c>
      <c r="C9" s="50" t="n">
        <v>0</v>
      </c>
      <c r="D9" s="50" t="n">
        <v>0</v>
      </c>
      <c r="E9" s="50" t="n">
        <v>1</v>
      </c>
      <c r="F9" s="51" t="n">
        <v>0</v>
      </c>
    </row>
    <row r="10">
      <c r="A10" s="17" t="inlineStr">
        <is>
          <t>P1.C.2 — Area Riservata Avanzata (upgrade)</t>
        </is>
      </c>
      <c r="B10" s="49" t="n">
        <v>11000</v>
      </c>
      <c r="C10" s="50" t="n">
        <v>0</v>
      </c>
      <c r="D10" s="50" t="n">
        <v>0</v>
      </c>
      <c r="E10" s="50" t="n">
        <v>0</v>
      </c>
      <c r="F10" s="51" t="n">
        <v>0</v>
      </c>
    </row>
    <row r="11">
      <c r="A11" s="17" t="inlineStr">
        <is>
          <t>P1.D — Community Engaged Network</t>
        </is>
      </c>
      <c r="B11" s="49" t="n">
        <v>15000</v>
      </c>
      <c r="C11" s="50" t="n">
        <v>0</v>
      </c>
      <c r="D11" s="50" t="n">
        <v>0</v>
      </c>
      <c r="E11" s="50" t="n">
        <v>1</v>
      </c>
      <c r="F11" s="51" t="n">
        <v>0</v>
      </c>
    </row>
    <row r="12">
      <c r="A12" s="17" t="inlineStr">
        <is>
          <t>P1.E — Analytics + Dashboard</t>
        </is>
      </c>
      <c r="B12" s="49" t="n">
        <v>4500</v>
      </c>
      <c r="C12" s="50" t="n">
        <v>0</v>
      </c>
      <c r="D12" s="50" t="n">
        <v>0</v>
      </c>
      <c r="E12" s="50" t="n">
        <v>1</v>
      </c>
      <c r="F12" s="51" t="n">
        <v>0</v>
      </c>
    </row>
    <row r="13">
      <c r="A13" s="17" t="inlineStr">
        <is>
          <t>P1.F — Landing eventi pubblici (3 landing)</t>
        </is>
      </c>
      <c r="B13" s="49" t="n">
        <v>22500</v>
      </c>
      <c r="C13" s="50" t="n">
        <v>0</v>
      </c>
      <c r="D13" s="50" t="n">
        <v>0</v>
      </c>
      <c r="E13" s="50" t="n">
        <v>1</v>
      </c>
      <c r="F13" s="51" t="n">
        <v>0</v>
      </c>
    </row>
    <row r="14">
      <c r="A14" s="17" t="inlineStr">
        <is>
          <t>P1.G — Landing eventi interni (3 landing)</t>
        </is>
      </c>
      <c r="B14" s="49" t="n">
        <v>22500</v>
      </c>
      <c r="C14" s="50" t="n">
        <v>0</v>
      </c>
      <c r="D14" s="50" t="n">
        <v>0</v>
      </c>
      <c r="E14" s="50" t="n">
        <v>0</v>
      </c>
      <c r="F14" s="51" t="n">
        <v>0</v>
      </c>
    </row>
    <row r="15">
      <c r="A15" s="17" t="inlineStr">
        <is>
          <t>P1.H — SEO avanzata</t>
        </is>
      </c>
      <c r="B15" s="49" t="n">
        <v>5000</v>
      </c>
      <c r="C15" s="50" t="n">
        <v>0</v>
      </c>
      <c r="D15" s="50" t="n">
        <v>0</v>
      </c>
      <c r="E15" s="50" t="n">
        <v>1</v>
      </c>
      <c r="F15" s="51" t="n">
        <v>0</v>
      </c>
    </row>
    <row r="16">
      <c r="A16" s="17" t="inlineStr">
        <is>
          <t>P1.J — Analytics setup GA4+Plausible</t>
        </is>
      </c>
      <c r="B16" s="49" t="n">
        <v>3000</v>
      </c>
      <c r="C16" s="50" t="n">
        <v>0</v>
      </c>
      <c r="D16" s="50" t="n">
        <v>0</v>
      </c>
      <c r="E16" s="50" t="n">
        <v>0</v>
      </c>
      <c r="F16" s="51" t="n">
        <v>0</v>
      </c>
    </row>
    <row r="17">
      <c r="A17" s="17" t="inlineStr">
        <is>
          <t>P1.K — Integrazione email marketing</t>
        </is>
      </c>
      <c r="B17" s="49" t="n">
        <v>2500</v>
      </c>
      <c r="C17" s="50" t="n">
        <v>0</v>
      </c>
      <c r="D17" s="50" t="n">
        <v>0</v>
      </c>
      <c r="E17" s="50" t="n">
        <v>0</v>
      </c>
      <c r="F17" s="51" t="n">
        <v>0</v>
      </c>
    </row>
    <row r="18">
      <c r="A18" s="17" t="inlineStr">
        <is>
          <t>P2.0B — Batch iniziale contenuti</t>
        </is>
      </c>
      <c r="B18" s="49" t="n">
        <v>10000</v>
      </c>
      <c r="C18" s="50" t="n">
        <v>0</v>
      </c>
      <c r="D18" s="50" t="n">
        <v>1</v>
      </c>
      <c r="E18" s="50" t="n">
        <v>1</v>
      </c>
      <c r="F18" s="51" t="n">
        <v>0</v>
      </c>
    </row>
    <row r="19">
      <c r="A19" s="17" t="inlineStr">
        <is>
          <t>P2.0C ×12 — Regia Editoriale &amp; Content Creation 12m</t>
        </is>
      </c>
      <c r="B19" s="49" t="n">
        <v>36000</v>
      </c>
      <c r="C19" s="50" t="n">
        <v>0</v>
      </c>
      <c r="D19" s="50" t="n">
        <v>1</v>
      </c>
      <c r="E19" s="50" t="n">
        <v>1</v>
      </c>
      <c r="F19" s="51" t="n">
        <v>1</v>
      </c>
    </row>
    <row r="20">
      <c r="A20" s="17" t="inlineStr">
        <is>
          <t>P2.A ×12 — LinkedIn 12 mesi</t>
        </is>
      </c>
      <c r="B20" s="49" t="n">
        <v>54000</v>
      </c>
      <c r="C20" s="50" t="n">
        <v>0</v>
      </c>
      <c r="D20" s="50" t="n">
        <v>1</v>
      </c>
      <c r="E20" s="50" t="n">
        <v>1</v>
      </c>
      <c r="F20" s="51" t="n">
        <v>1</v>
      </c>
    </row>
    <row r="21">
      <c r="A21" s="17" t="inlineStr">
        <is>
          <t>P2.BS — Email marketing setup</t>
        </is>
      </c>
      <c r="B21" s="49" t="n">
        <v>3500</v>
      </c>
      <c r="C21" s="50" t="n">
        <v>0</v>
      </c>
      <c r="D21" s="50" t="n">
        <v>0</v>
      </c>
      <c r="E21" s="50" t="n">
        <v>1</v>
      </c>
      <c r="F21" s="51" t="n">
        <v>0</v>
      </c>
    </row>
    <row r="22">
      <c r="A22" s="17" t="inlineStr">
        <is>
          <t>P2.BC ×12 — Email marketing 12 mesi</t>
        </is>
      </c>
      <c r="B22" s="49" t="n">
        <v>18000</v>
      </c>
      <c r="C22" s="50" t="n">
        <v>0</v>
      </c>
      <c r="D22" s="50" t="n">
        <v>0</v>
      </c>
      <c r="E22" s="50" t="n">
        <v>1</v>
      </c>
      <c r="F22" s="51" t="n">
        <v>0</v>
      </c>
    </row>
    <row r="23">
      <c r="A23" s="43" t="inlineStr">
        <is>
          <t>SUBTOTALE HeyAI</t>
        </is>
      </c>
      <c r="B23" s="45" t="n"/>
      <c r="C23" s="52">
        <f>SUMPRODUCT($B$5:$B$22,C5:C22)</f>
        <v/>
      </c>
      <c r="D23" s="52">
        <f>SUMPRODUCT($B$5:$B$22,D5:D22)</f>
        <v/>
      </c>
      <c r="E23" s="52">
        <f>SUMPRODUCT($B$5:$B$22,E5:E22)</f>
        <v/>
      </c>
      <c r="F23" s="52">
        <f>SUMPRODUCT($B$5:$B$22,F5:F22)</f>
        <v/>
      </c>
    </row>
    <row r="24">
      <c r="A24" s="38" t="inlineStr">
        <is>
          <t>Sconto bundle 1+2 (se P1.0 e P1.1 entrambi)</t>
        </is>
      </c>
      <c r="B24" s="45" t="n"/>
      <c r="C24" s="53">
        <f>IF(AND(C5=1,C6=1),-B6*'06_Variables'!$B$9,0)</f>
        <v/>
      </c>
      <c r="D24" s="53">
        <f>IF(AND(D5=1,D6=1),-B6*'06_Variables'!$B$9,0)</f>
        <v/>
      </c>
      <c r="E24" s="53">
        <f>IF(AND(E5=1,E6=1),-B6*'06_Variables'!$B$9,0)</f>
        <v/>
      </c>
      <c r="F24" s="53">
        <f>IF(AND(F5=1,F6=1),-B6*'06_Variables'!$B$9,0)</f>
        <v/>
      </c>
    </row>
    <row r="25">
      <c r="A25" s="38" t="inlineStr">
        <is>
          <t>Sconto bundle 1+2+3 (se F3 incluso)</t>
        </is>
      </c>
      <c r="B25" s="45" t="n"/>
      <c r="C25" s="53">
        <f>IF(AND(C5=1,C6=1,C11=1),-B11*'06_Variables'!$B$10,0)</f>
        <v/>
      </c>
      <c r="D25" s="53">
        <f>IF(AND(D5=1,D6=1,D11=1),-B11*'06_Variables'!$B$10,0)</f>
        <v/>
      </c>
      <c r="E25" s="53">
        <f>IF(AND(E5=1,E6=1,E11=1),-B11*'06_Variables'!$B$10,0)</f>
        <v/>
      </c>
      <c r="F25" s="53">
        <f>IF(AND(F5=1,F6=1,F11=1),-B11*'06_Variables'!$B$10,0)</f>
        <v/>
      </c>
    </row>
    <row r="26">
      <c r="A26" s="54" t="inlineStr">
        <is>
          <t>🎯 TOTALE Scenario (HeyAI puro, 12 mesi)</t>
        </is>
      </c>
      <c r="B26" s="45" t="n"/>
      <c r="C26" s="55">
        <f>SUM(C23:C25)</f>
        <v/>
      </c>
      <c r="D26" s="55">
        <f>SUM(D23:D25)</f>
        <v/>
      </c>
      <c r="E26" s="55">
        <f>SUM(E23:E25)</f>
        <v/>
      </c>
      <c r="F26" s="55">
        <f>SUM(F23:F25)</f>
        <v/>
      </c>
    </row>
    <row r="27">
      <c r="A27" s="56" t="inlineStr">
        <is>
          <t>+ FuturItaly P3 (rete + bandi)</t>
        </is>
      </c>
      <c r="B27" s="57" t="inlineStr">
        <is>
          <t>TBD</t>
        </is>
      </c>
      <c r="C27" s="57" t="inlineStr">
        <is>
          <t>TBD</t>
        </is>
      </c>
      <c r="D27" s="57" t="inlineStr">
        <is>
          <t>TBD</t>
        </is>
      </c>
      <c r="E27" s="57" t="inlineStr">
        <is>
          <t>TBD</t>
        </is>
      </c>
      <c r="F27" s="57" t="inlineStr">
        <is>
          <t>TBD</t>
        </is>
      </c>
    </row>
    <row r="28">
      <c r="A28" s="56" t="inlineStr">
        <is>
          <t>+ Kit comunicazione esterna P4 (su richiesta)</t>
        </is>
      </c>
      <c r="B28" s="57" t="inlineStr">
        <is>
          <t>—</t>
        </is>
      </c>
      <c r="C28" s="57" t="inlineStr">
        <is>
          <t>—</t>
        </is>
      </c>
      <c r="D28" s="57" t="inlineStr">
        <is>
          <t>—</t>
        </is>
      </c>
      <c r="E28" s="57" t="inlineStr">
        <is>
          <t>—</t>
        </is>
      </c>
      <c r="F28" s="57" t="inlineStr">
        <is>
          <t>—</t>
        </is>
      </c>
    </row>
    <row r="30">
      <c r="A30" s="32" t="inlineStr">
        <is>
          <t>DESCRIZIONE SCENARI</t>
        </is>
      </c>
    </row>
    <row r="31">
      <c r="A31" s="58" t="inlineStr">
        <is>
          <t>ENTRY</t>
        </is>
      </c>
      <c r="B31" s="12" t="inlineStr">
        <is>
          <t>P1.0 Riallineamento + P2.0C continuativo 12m + P2.A LinkedIn 12m. Cliente che vuole minimo intervento.</t>
        </is>
      </c>
      <c r="C31" s="45" t="n"/>
      <c r="D31" s="45" t="n"/>
      <c r="E31" s="45" t="n"/>
      <c r="F31" s="45" t="n"/>
    </row>
    <row r="32">
      <c r="A32" s="58" t="inlineStr">
        <is>
          <t>STANDARD</t>
        </is>
      </c>
      <c r="B32" s="12" t="inlineStr">
        <is>
          <t>Bundle 1+2 (riallineamento + sito nuovo) + P1.A studio CJ + P1.B AI MVP + P2.0B batch + continuativi 12m. Cliente che vuole sito nuovo + ecosistema base.</t>
        </is>
      </c>
      <c r="C32" s="45" t="n"/>
      <c r="D32" s="45" t="n"/>
      <c r="E32" s="45" t="n"/>
      <c r="F32" s="45" t="n"/>
    </row>
    <row r="33">
      <c r="A33" s="58" t="inlineStr">
        <is>
          <t>PREMIUM</t>
        </is>
      </c>
      <c r="B33" s="12" t="inlineStr">
        <is>
          <t>STANDARD + P1.C.1 area riservata + P1.D community + P1.E analytics + P1.F 3 landing pubbliche + P1.H SEO + P2.BS email setup + P2.BC continuativo. Ecosistema completo.</t>
        </is>
      </c>
      <c r="C33" s="45" t="n"/>
      <c r="D33" s="45" t="n"/>
      <c r="E33" s="45" t="n"/>
      <c r="F33" s="45" t="n"/>
    </row>
    <row r="34">
      <c r="A34" s="58" t="inlineStr">
        <is>
          <t>CUSTOM</t>
        </is>
      </c>
      <c r="B34" s="12" t="inlineStr">
        <is>
          <t>Compila colonna 'Custom' con 1/0 per voci che vuoi includere. Totale si aggiorna automaticamente.</t>
        </is>
      </c>
      <c r="C34" s="45" t="n"/>
      <c r="D34" s="45" t="n"/>
      <c r="E34" s="45" t="n"/>
      <c r="F34" s="45" t="n"/>
    </row>
  </sheetData>
  <mergeCells count="4">
    <mergeCell ref="B32:F32"/>
    <mergeCell ref="B34:F34"/>
    <mergeCell ref="B31:F31"/>
    <mergeCell ref="B33:F3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50" customWidth="1" min="4" max="4"/>
  </cols>
  <sheetData>
    <row r="1" ht="28" customHeight="1">
      <c r="A1" s="1" t="inlineStr">
        <is>
          <t>Variabili e parametri master</t>
        </is>
      </c>
    </row>
    <row r="2">
      <c r="A2" s="6" t="inlineStr">
        <is>
          <t>Tutti gli input modificabili (gialli/blu). Cambia qui · tutto il modello si aggiorna.</t>
        </is>
      </c>
    </row>
    <row r="4" ht="32" customHeight="1">
      <c r="A4" s="7" t="inlineStr">
        <is>
          <t>Parametro</t>
        </is>
      </c>
      <c r="B4" s="7" t="inlineStr">
        <is>
          <t>Valore</t>
        </is>
      </c>
      <c r="C4" s="7" t="inlineStr">
        <is>
          <t>Unità</t>
        </is>
      </c>
      <c r="D4" s="7" t="inlineStr">
        <is>
          <t>Note</t>
        </is>
      </c>
    </row>
    <row r="5">
      <c r="A5" s="43" t="inlineStr">
        <is>
          <t>TARIFFE GIORNALIERE</t>
        </is>
      </c>
      <c r="B5" s="45" t="n"/>
      <c r="C5" s="45" t="n"/>
      <c r="D5" s="45" t="n"/>
    </row>
    <row r="6">
      <c r="A6" s="17" t="inlineStr">
        <is>
          <t>Tariffa HeyAI €/giorno</t>
        </is>
      </c>
      <c r="B6" s="49" t="n">
        <v>650</v>
      </c>
      <c r="C6" s="50" t="inlineStr">
        <is>
          <t>€</t>
        </is>
      </c>
      <c r="D6" s="22" t="inlineStr">
        <is>
          <t>Mid-senior agency Italia 2026 con AI assistance</t>
        </is>
      </c>
    </row>
    <row r="7">
      <c r="A7" s="45" t="n"/>
      <c r="B7" s="45" t="n"/>
      <c r="C7" s="45" t="n"/>
      <c r="D7" s="45" t="n"/>
    </row>
    <row r="8">
      <c r="A8" s="43" t="inlineStr">
        <is>
          <t>SCONTI BUNDLE SITO</t>
        </is>
      </c>
      <c r="B8" s="45" t="n"/>
      <c r="C8" s="45" t="n"/>
      <c r="D8" s="45" t="n"/>
    </row>
    <row r="9">
      <c r="A9" s="17" t="inlineStr">
        <is>
          <t>Sconto Fase 2 se bundle 1+2</t>
        </is>
      </c>
      <c r="B9" s="59" t="n">
        <v>0.05</v>
      </c>
      <c r="C9" s="50" t="inlineStr">
        <is>
          <t>%</t>
        </is>
      </c>
      <c r="D9" s="22" t="inlineStr">
        <is>
          <t>Quando F1 e F2 firmate insieme</t>
        </is>
      </c>
    </row>
    <row r="10">
      <c r="A10" s="17" t="inlineStr">
        <is>
          <t>Sconto Fase 3 se bundle 1+2+3</t>
        </is>
      </c>
      <c r="B10" s="59" t="n">
        <v>0.1</v>
      </c>
      <c r="C10" s="50" t="inlineStr">
        <is>
          <t>%</t>
        </is>
      </c>
      <c r="D10" s="22" t="inlineStr">
        <is>
          <t>Quando tutte 3 fasi firmate insieme</t>
        </is>
      </c>
    </row>
    <row r="11">
      <c r="A11" s="45" t="n"/>
      <c r="B11" s="45" t="n"/>
      <c r="C11" s="45" t="n"/>
      <c r="D11" s="45" t="n"/>
    </row>
    <row r="12">
      <c r="A12" s="43" t="inlineStr">
        <is>
          <t>SCONTI VOLUME ADD-ON P1</t>
        </is>
      </c>
      <c r="B12" s="45" t="n"/>
      <c r="C12" s="45" t="n"/>
      <c r="D12" s="45" t="n"/>
    </row>
    <row r="13">
      <c r="A13" s="17" t="inlineStr">
        <is>
          <t>Soglia per attivare sconto add-on</t>
        </is>
      </c>
      <c r="B13" s="60" t="n">
        <v>3</v>
      </c>
      <c r="C13" s="50" t="inlineStr">
        <is>
          <t>n</t>
        </is>
      </c>
      <c r="D13" s="22" t="inlineStr"/>
    </row>
    <row r="14">
      <c r="A14" s="17" t="inlineStr">
        <is>
          <t>Sconto se 3 add-on</t>
        </is>
      </c>
      <c r="B14" s="59" t="n">
        <v>0.05</v>
      </c>
      <c r="C14" s="50" t="inlineStr">
        <is>
          <t>%</t>
        </is>
      </c>
      <c r="D14" s="22" t="inlineStr"/>
    </row>
    <row r="15">
      <c r="A15" s="17" t="inlineStr">
        <is>
          <t>Sconto se 4+ add-on</t>
        </is>
      </c>
      <c r="B15" s="59" t="n">
        <v>0.1</v>
      </c>
      <c r="C15" s="50" t="inlineStr">
        <is>
          <t>%</t>
        </is>
      </c>
      <c r="D15" s="22" t="inlineStr"/>
    </row>
    <row r="16">
      <c r="A16" s="17" t="inlineStr">
        <is>
          <t>Sconto bundle ecosistema completo (tutti add-on)</t>
        </is>
      </c>
      <c r="B16" s="59" t="n">
        <v>0.15</v>
      </c>
      <c r="C16" s="50" t="inlineStr">
        <is>
          <t>%</t>
        </is>
      </c>
      <c r="D16" s="22" t="inlineStr"/>
    </row>
    <row r="17">
      <c r="A17" s="45" t="n"/>
      <c r="B17" s="45" t="n"/>
      <c r="C17" s="45" t="n"/>
      <c r="D17" s="45" t="n"/>
    </row>
    <row r="18">
      <c r="A18" s="43" t="inlineStr">
        <is>
          <t>SCONTI LOCK-IN CONTINUATIVI P2</t>
        </is>
      </c>
      <c r="B18" s="45" t="n"/>
      <c r="C18" s="45" t="n"/>
      <c r="D18" s="45" t="n"/>
    </row>
    <row r="19">
      <c r="A19" s="17" t="inlineStr">
        <is>
          <t>Sconto lock-in 12 mesi</t>
        </is>
      </c>
      <c r="B19" s="59" t="n">
        <v>0.05</v>
      </c>
      <c r="C19" s="50" t="inlineStr">
        <is>
          <t>%</t>
        </is>
      </c>
      <c r="D19" s="22" t="inlineStr">
        <is>
          <t>Sul canone mensile</t>
        </is>
      </c>
    </row>
    <row r="20">
      <c r="A20" s="17" t="inlineStr">
        <is>
          <t>Sconto lock-in 24 mesi</t>
        </is>
      </c>
      <c r="B20" s="59" t="n">
        <v>0.1</v>
      </c>
      <c r="C20" s="50" t="inlineStr">
        <is>
          <t>%</t>
        </is>
      </c>
      <c r="D20" s="22" t="inlineStr">
        <is>
          <t>Sul canone mensile</t>
        </is>
      </c>
    </row>
    <row r="21">
      <c r="A21" s="45" t="n"/>
      <c r="B21" s="45" t="n"/>
      <c r="C21" s="45" t="n"/>
      <c r="D21" s="45" t="n"/>
    </row>
    <row r="22">
      <c r="A22" s="43" t="inlineStr">
        <is>
          <t>PARAMETRI DELIVERY</t>
        </is>
      </c>
      <c r="B22" s="45" t="n"/>
      <c r="C22" s="45" t="n"/>
      <c r="D22" s="45" t="n"/>
    </row>
    <row r="23">
      <c r="A23" s="17" t="inlineStr">
        <is>
          <t>Durata target sito nuovo (mesi)</t>
        </is>
      </c>
      <c r="B23" s="61" t="n">
        <v>2.5</v>
      </c>
      <c r="C23" s="50" t="inlineStr">
        <is>
          <t>mesi</t>
        </is>
      </c>
      <c r="D23" s="22" t="inlineStr">
        <is>
          <t>2-3 mesi</t>
        </is>
      </c>
    </row>
    <row r="24">
      <c r="A24" s="17" t="inlineStr">
        <is>
          <t>Giornata-uomo PM Carlo/settimana</t>
        </is>
      </c>
      <c r="B24" s="60" t="n">
        <v>1</v>
      </c>
      <c r="C24" s="50" t="inlineStr">
        <is>
          <t>g/sett</t>
        </is>
      </c>
      <c r="D24" s="22" t="inlineStr">
        <is>
          <t>PM dedicato durante delivery</t>
        </is>
      </c>
    </row>
    <row r="25">
      <c r="A25" s="17" t="inlineStr">
        <is>
          <t>Lock-in min raccomandato continuativi</t>
        </is>
      </c>
      <c r="B25" s="60" t="n">
        <v>6</v>
      </c>
      <c r="C25" s="50" t="inlineStr">
        <is>
          <t>mesi</t>
        </is>
      </c>
      <c r="D25" s="22" t="inlineStr"/>
    </row>
    <row r="26">
      <c r="A26" s="17" t="inlineStr">
        <is>
          <t>Validità offerta</t>
        </is>
      </c>
      <c r="B26" s="60" t="n">
        <v>30</v>
      </c>
      <c r="C26" s="50" t="inlineStr">
        <is>
          <t>giorni</t>
        </is>
      </c>
      <c r="D26" s="22" t="inlineStr">
        <is>
          <t>Da data emissione</t>
        </is>
      </c>
    </row>
  </sheetData>
  <mergeCells count="5">
    <mergeCell ref="A5:D5"/>
    <mergeCell ref="A18:D18"/>
    <mergeCell ref="A8:D8"/>
    <mergeCell ref="A22:D22"/>
    <mergeCell ref="A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2026-05-27T12:52:33Z</dcterms:created>
  <dcterms:modified xsi:type="dcterms:W3CDTF">2026-05-27T12:52:33Z</dcterms:modified>
</cp:coreProperties>
</file>
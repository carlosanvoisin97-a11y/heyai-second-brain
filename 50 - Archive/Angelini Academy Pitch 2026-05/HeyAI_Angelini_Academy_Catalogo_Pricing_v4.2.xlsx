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carlosanvoisin/claude/20 - Projects/Futuritaly/Angelini Academy/"/>
    </mc:Choice>
  </mc:AlternateContent>
  <xr:revisionPtr revIDLastSave="0" documentId="13_ncr:1_{6CD9736E-9AC0-9944-9844-305CF82CDB3E}" xr6:coauthVersionLast="47" xr6:coauthVersionMax="47" xr10:uidLastSave="{00000000-0000-0000-0000-000000000000}"/>
  <bookViews>
    <workbookView xWindow="0" yWindow="600" windowWidth="28800" windowHeight="16140" xr2:uid="{00000000-000D-0000-FFFF-FFFF00000000}"/>
  </bookViews>
  <sheets>
    <sheet name="01_Catalogo_Prezzi" sheetId="1" r:id="rId1"/>
    <sheet name="02_Pacchetto_Consigliat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 i="2" l="1"/>
</calcChain>
</file>

<file path=xl/sharedStrings.xml><?xml version="1.0" encoding="utf-8"?>
<sst xmlns="http://schemas.openxmlformats.org/spreadsheetml/2006/main" count="203" uniqueCount="104">
  <si>
    <t>Catalogo Servizi — Angelini Academy</t>
  </si>
  <si>
    <t>Voce</t>
  </si>
  <si>
    <t>Tipologia</t>
  </si>
  <si>
    <t>Lato</t>
  </si>
  <si>
    <t>Descrizione</t>
  </si>
  <si>
    <t>Prezzo</t>
  </si>
  <si>
    <t>Note</t>
  </si>
  <si>
    <t>SITO WEB</t>
  </si>
  <si>
    <t>Sito web pubblico nuovo</t>
  </si>
  <si>
    <t>Core (una tantum)</t>
  </si>
  <si>
    <t>HeyAI</t>
  </si>
  <si>
    <t>Realizziamo il nuovo sito web di Angelini Academy come ecosistema digitale unitario. Comprende 17 pagine, 5 percorsi differenziati per audience (giovani talenti, ricercatori, HR e business, imprese, media), MBA Gateway, anteprima Engaged Research, Founder Stories, blog, eventi, press, chi siamo e contatti. Il sito è in italiano e inglese fin dal lancio, navigabile da desktop e mobile, conforme al regolamento europeo sulla privacy, con sistema di gestione contenuti dedicato per la pubblicazione autonoma da parte vostra.</t>
  </si>
  <si>
    <t>Architettura su cui si appoggiano tutti gli altri servizi</t>
  </si>
  <si>
    <t>Area Riservata Semplice (interni)</t>
  </si>
  <si>
    <t>Area autenticata accessibile ai dipendenti del Gruppo Angelini. Tutti gli utenti interni accedono allo stesso spazio con login dedicato, dove trovano formazione interna, eventi riservati, risorse documentali della Academy. Versione base senza personalizzazione per singolo dipendente.</t>
  </si>
  <si>
    <t>Community Engaged Network</t>
  </si>
  <si>
    <t>Spazio digitale per gli alumni del MBA Gateway e per i ricercatori partner dell'Academy. Include tre funzionalità interattive di base: discussioni dei paper Engaged Research (con possibilità di commentare, rispondere, taggare altri membri), stesura collaborativa di position paper, tracciamento del percorso professionale post-MBA. Include anche un hub editoriale dove i contenuti pubblicati dal team editoriale vengono accolti in formato discutibile dalla community.</t>
  </si>
  <si>
    <t>Include il caricamento dei contenuti editoriali fino a 2 articoli/mese · volumi superiori on-demand</t>
  </si>
  <si>
    <t>Analytics setup</t>
  </si>
  <si>
    <t>Configurazione tecnica di Google Analytics 4 sul sito per misurare visite, audience, conversioni dei form, percorsi di navigazione. Include impostazione degli eventi-chiave (richiesta MBA Gateway, iscrizione newsletter, contatti) e organizzazione delle metriche per ciascuna delle 5 audience.</t>
  </si>
  <si>
    <t>Standard nel core · in alternativa potete scegliere la Dashboard custom proprietaria</t>
  </si>
  <si>
    <t>SEO + ottimizzazione per LLM</t>
  </si>
  <si>
    <t>Lavoro di ottimizzazione per i motori di ricerca tradizionali (Google) e per i nuovi assistenti basati su Large Language Model (ChatGPT, Claude, Perplexity), che oggi sono uno dei canali emergenti di scoperta. Comprende mappatura delle parole chiave prioritarie, schema markup strutturato, content brief per i nuovi contenuti, monitoraggio del posizionamento.</t>
  </si>
  <si>
    <t>Inclusa nel core per garantire visibilità del sito sin dal lancio</t>
  </si>
  <si>
    <t>ADD-ON OPZIONALI SITO</t>
  </si>
  <si>
    <t>Studio strategico Customer Journey</t>
  </si>
  <si>
    <t>Addon (una tantum)</t>
  </si>
  <si>
    <t>Analisi approfondita dei percorsi che le diverse audience compiono dall'incontro con Angelini Academy fino all'iscrizione a un programma. Mappiamo le 5 personas in dettaglio, identifichiamo i punti di contatto, le motivazioni, gli ostacoli e le call-to-action più efficaci per ciascuna. Il risultato è un documento strategico che orienta scelte di contenuto e di navigazione.</t>
  </si>
  <si>
    <t>Raccomandato per consolidare le basi strategiche del sito</t>
  </si>
  <si>
    <t>Agente di Intelligenza Artificiale</t>
  </si>
  <si>
    <t>Un unico agente conversazionale integrato nel sito, con quattro modalità di interazione: Tutor (risponde a domande sull'offerta formativa dell'Academy), Reading Room (dialoga sui paper di ricerca), Career Path Navigator (guida l'utente nella scelta del percorso più adatto), Research Engine (effettua ricerche semantiche nel corpus accademico). Tutte le modalità condividono la stessa interfaccia e accedono a basi di conoscenza differenziate.</t>
  </si>
  <si>
    <t>Posizionato come MVP iterabile · attivabile in qualsiasi momento post-lancio</t>
  </si>
  <si>
    <t>Area Riservata Avanzata</t>
  </si>
  <si>
    <t>Evoluzione dell'Area Riservata Semplice: ciascun dipendente ha un proprio profilo personalizzato che traccia i corsi seguiti, il percorso formativo, i progressi, i suggerimenti dedicati. Sub-aree dedicate (formazione, eventi interni, community OpCo, percorso MBA, risorse Casa Angelini) si adattano al profilo del singolo utente.</t>
  </si>
  <si>
    <t>Upgrade rispetto alla versione Semplice · da valutare con cliente</t>
  </si>
  <si>
    <t>Dashboard Analytics custom</t>
  </si>
  <si>
    <t>Cruscotto analitico proprietario sviluppato su misura, alternativo a Google Analytics. Mostra le metriche più rilevanti per Angelini Academy con visualizzazioni custom (audience per persona, performance dei programmi, conversioni MBA Gateway, andamento eventi). Vantaggio: completa autonomia sui dati, nessuna dipendenza da Google.</t>
  </si>
  <si>
    <t>Alternativa premium a Google Analytics · da valutare con cliente</t>
  </si>
  <si>
    <t>Landing eventi pubblici</t>
  </si>
  <si>
    <t>Pagina dedicata per ogni evento aperto al pubblico (Festival Trento, Forum Casa Angelini, Hackathon, Roadshow, eventi alumni). Include design ad hoc, modulo di registrazione, esperienza interattiva (countdown, agenda, speakers), raccolta automatica dei contatti dei partecipanti.</t>
  </si>
  <si>
    <t>5.000-10.000 cad</t>
  </si>
  <si>
    <t>Da valutare con cliente in base al numero di eventi previsti</t>
  </si>
  <si>
    <t>Landing eventi interni</t>
  </si>
  <si>
    <t>Stessa logica delle landing pubbliche ma riservata ai dipendenti del Gruppo: i partecipanti accedono con il login dell'Area Riservata. Permette di organizzare in autonomia eventi interni senza dover gestire iscrizioni via email.</t>
  </si>
  <si>
    <t>Richiede Area Riservata attivata</t>
  </si>
  <si>
    <t>Integrazione CRM</t>
  </si>
  <si>
    <t>Collegamento automatico tra i form del sito e il vostro CRM aziendale (HubSpot, Salesforce o altro). I lead raccolti dal sito vengono inseriti automaticamente nel CRM, qualificati e instradati al team commerciale di riferimento.</t>
  </si>
  <si>
    <t>Su quotazione</t>
  </si>
  <si>
    <t>Sito già predisposto · attivabile in fase successiva post go-live</t>
  </si>
  <si>
    <t>Gateway pagamento corsi</t>
  </si>
  <si>
    <t>Integrazione di un gateway di pagamento (Stripe o PayPal) per consentire l'acquisto diretto online dei programmi formativi a pagamento. Include processo di checkout sicuro, gestione delle ricevute, sicurezza dei dati di pagamento.</t>
  </si>
  <si>
    <t>Sito già predisposto · valutare in fase successiva post go-live</t>
  </si>
  <si>
    <t>EDITORIALE &amp; CONTENT (gestione FuturItaly)</t>
  </si>
  <si>
    <t>Batch iniziale contenuti (workshop incluso)</t>
  </si>
  <si>
    <t>FuturItaly</t>
  </si>
  <si>
    <t>Bozza HeyAI · da verificare con FuturItaly: produzione iniziale di contenuti per popolare il sito al lancio. Comprende un workshop di co-design con il cliente per definire la strategia editoriale, i primi 5 articoli/white paper light, 5 video pillole associate, il press kit istituzionale.</t>
  </si>
  <si>
    <t>Valore concordato con FuturItaly</t>
  </si>
  <si>
    <t>Bozza · scope finale e prezzo definiti dal team editoriale FuturItaly</t>
  </si>
  <si>
    <t>Hub editoriale &amp; Content Creation continuativo</t>
  </si>
  <si>
    <t>Core (continuativo)</t>
  </si>
  <si>
    <t>Bozza HeyAI · da verificare con FuturItaly: produzione editoriale continuativa per alimentare il sito e la community. Due white paper light al mese (testi di ricerca leggeri, scaricabili in PDF) con video pillole associate da 10-30 secondi. Allineamento mensile con il team Academy per priorità di comunicazione.</t>
  </si>
  <si>
    <t>SOCIAL &amp; EMAIL MARKETING</t>
  </si>
  <si>
    <t>Gestione LinkedIn Academy</t>
  </si>
  <si>
    <t>Addon (continuativo)</t>
  </si>
  <si>
    <t>Gestione completa del canale LinkedIn istituzionale di Angelini Academy. Comprende strategia editoriale mensile, produzione di 4-8 post (organici + sponsorizzati con LinkedIn Ads), creazione delle grafiche dedicate, monitoraggio dei commenti, reportistica mensile. I contenuti del sito vengono adattati e riproposti sul canale per amplificarne la portata.</t>
  </si>
  <si>
    <t>Budget per le sponsorizzazioni LinkedIn a carico cliente · in aggiunta · da valutare con cliente</t>
  </si>
  <si>
    <t>Email marketing — Setup</t>
  </si>
  <si>
    <t>Configurazione iniziale della piattaforma di email marketing (Mailchimp, Brevo o HubSpot), inclusa l'integrazione tecnica con i form del sito per il passaggio automatico dei contatti. Comprende la creazione di 5 segmentazioni per le diverse audience, 2 template grafici (newsletter e welcome drip), 1-2 automazioni di base e formazione del team.</t>
  </si>
  <si>
    <t>Fuori dal core · include il collegamento tecnico form sito → piattaforma email</t>
  </si>
  <si>
    <t>Email marketing — Continuativo</t>
  </si>
  <si>
    <t>Gestione mensile delle campagne email: scrittura e invio di campagne segmentate per persona, drip per eventi specifici, test A/B per ottimizzazione, reportistica delle performance.</t>
  </si>
  <si>
    <t>Fuori dal core · da valutare con cliente</t>
  </si>
  <si>
    <t>KIT COMUNICAZIONE ESTERNA (citato nel brief gara)</t>
  </si>
  <si>
    <t>Concept creativo video promozionale Academy</t>
  </si>
  <si>
    <t>Sviluppo del concept creativo e dello storyboard per un video promozionale istituzionale di Angelini Academy. L'esecuzione effettiva (riprese, montaggio, post-produzione) viene affidata a un fornitore esterno specializzato.</t>
  </si>
  <si>
    <t>Nel brief gara · cliente potrebbe avere già fornitore dedicato</t>
  </si>
  <si>
    <t>Concept design brochure presentazione</t>
  </si>
  <si>
    <t>Progettazione grafica della brochure istituzionale di presentazione dell'Academy. Include impostazione editoriale, layout, scelta dei contenuti chiave. La stampa effettiva è a carico di un fornitore tipografico esterno.</t>
  </si>
  <si>
    <t>Nel brief gara · disponibili se serve</t>
  </si>
  <si>
    <t>Concept scouting gadget personalizzati</t>
  </si>
  <si>
    <t>Ideazione e scouting di gadget brandizzati Angelini Academy: scelta della tipologia, dei materiali, dei fornitori produttivi. La produzione effettiva è a carico del fornitore selezionato.</t>
  </si>
  <si>
    <t>VOCI CON RACCOMANDAZIONE</t>
  </si>
  <si>
    <t>Riallineamento sito attuale</t>
  </si>
  <si>
    <t>Sconsigliato</t>
  </si>
  <si>
    <t>Refresh visivo del sito attuale di Angelini Academy: cambio del copy principale, aggiornamento delle foto, eventuale aggiunta di 1-2 sezioni allineate al nuovo posizionamento.</t>
  </si>
  <si>
    <t>Raccomandiamo di partire direttamente con il sito completo, in quanto il mockup del nuovo sito è già a uno stadio molto avanzato</t>
  </si>
  <si>
    <t>Pacchetto consigliato per Angelini Academy</t>
  </si>
  <si>
    <t>La nostra proposta</t>
  </si>
  <si>
    <t>Per Angelini Academy proponiamo un pacchetto che lavora insieme su quattro priorità: un ecosistema digitale unitario che fa convergere tutti i canali, una linea editoriale continuativa che alimenta il sito di contenuti di valore, una community per alumni e ricercatori partner, e una baseline analitica per misurare come performano le iniziative.</t>
  </si>
  <si>
    <t>Tutti gli altri servizi sono attivabili a parte, quando vi serviranno, per restare flessibili sul livello di investimento e sui tempi.</t>
  </si>
  <si>
    <t>Pacchetto consigliato</t>
  </si>
  <si>
    <t>Totale pacchetto consigliato (lato HeyAI)</t>
  </si>
  <si>
    <t>+ parte editoriale FuturItaly</t>
  </si>
  <si>
    <t>Altri servizi attivabili a parte</t>
  </si>
  <si>
    <t>Area Riservata Avanzata (upgrade)</t>
  </si>
  <si>
    <t>Gestione LinkedIn Academy (canone mensile)</t>
  </si>
  <si>
    <t>Email marketing — Continuativo (canone mensile)</t>
  </si>
  <si>
    <t>Landing eventi pubblici (per landing)</t>
  </si>
  <si>
    <t>Landing eventi interni (per landing · richiede Area Riservata)</t>
  </si>
  <si>
    <t>Concept video promozionale Academy</t>
  </si>
  <si>
    <t>Concept brochure presentazione</t>
  </si>
  <si>
    <t>Servizio sconsigliato</t>
  </si>
  <si>
    <t>Importi netti IVA esclusa · documento di lavoro · pricing da validare in fase contrattuale</t>
  </si>
  <si>
    <t>Importi IVA esclusa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</si>
</sst>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quot;€&quot;\ #,##0\ &quot;/mese&quot;"/>
  </numFmts>
  <fonts count="14" x14ac:knownFonts="1">
    <font>
      <sz val="11"/>
      <color theme="1"/>
      <name val="Calibri"/>
      <family val="2"/>
      <scheme val="minor"/>
    </font>
    <font>
      <b/>
      <sz val="16"/>
      <color rgb="FF2B8C96"/>
      <name val="Arial"/>
      <family val="2"/>
    </font>
    <font>
      <i/>
      <sz val="9"/>
      <color rgb="FF606060"/>
      <name val="Arial"/>
      <family val="2"/>
    </font>
    <font>
      <b/>
      <sz val="11"/>
      <color rgb="FFFFFFFF"/>
      <name val="Arial"/>
      <family val="2"/>
    </font>
    <font>
      <b/>
      <sz val="12"/>
      <color rgb="FF156082"/>
      <name val="Arial"/>
      <family val="2"/>
    </font>
    <font>
      <b/>
      <sz val="10"/>
      <color rgb="FF000000"/>
      <name val="Arial"/>
      <family val="2"/>
    </font>
    <font>
      <sz val="9"/>
      <color rgb="FF000000"/>
      <name val="Arial"/>
      <family val="2"/>
    </font>
    <font>
      <b/>
      <sz val="10"/>
      <color rgb="FF156082"/>
      <name val="Arial"/>
      <family val="2"/>
    </font>
    <font>
      <sz val="10"/>
      <color rgb="FF000000"/>
      <name val="Arial"/>
      <family val="2"/>
    </font>
    <font>
      <b/>
      <sz val="10"/>
      <color rgb="FF2B8C96"/>
      <name val="Arial"/>
      <family val="2"/>
    </font>
    <font>
      <i/>
      <sz val="10"/>
      <color rgb="FFA0A0A0"/>
      <name val="Arial"/>
      <family val="2"/>
    </font>
    <font>
      <b/>
      <sz val="10"/>
      <color rgb="FFC58800"/>
      <name val="Arial"/>
      <family val="2"/>
    </font>
    <font>
      <b/>
      <sz val="12"/>
      <color rgb="FFFFFFFF"/>
      <name val="Arial"/>
      <family val="2"/>
    </font>
    <font>
      <strike/>
      <sz val="10"/>
      <color rgb="FFA0A0A0"/>
      <name val="Arial"/>
      <family val="2"/>
    </font>
  </fonts>
  <fills count="6">
    <fill>
      <patternFill patternType="none"/>
    </fill>
    <fill>
      <patternFill patternType="gray125"/>
    </fill>
    <fill>
      <patternFill patternType="solid">
        <fgColor rgb="FF1F3A4D"/>
      </patternFill>
    </fill>
    <fill>
      <patternFill patternType="solid">
        <fgColor rgb="FFEDF2F7"/>
      </patternFill>
    </fill>
    <fill>
      <patternFill patternType="solid">
        <fgColor rgb="FFFFF4E5"/>
      </patternFill>
    </fill>
    <fill>
      <patternFill patternType="solid">
        <fgColor rgb="FF2B8C96"/>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7">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5" fillId="0" borderId="1" xfId="0" applyFont="1" applyBorder="1" applyAlignment="1">
      <alignment vertical="top"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xf>
    <xf numFmtId="0" fontId="8" fillId="0" borderId="1" xfId="0" applyFont="1" applyBorder="1" applyAlignment="1">
      <alignment vertical="top" wrapText="1"/>
    </xf>
    <xf numFmtId="164" fontId="9" fillId="0" borderId="1" xfId="0" applyNumberFormat="1" applyFont="1" applyBorder="1" applyAlignment="1">
      <alignment horizontal="right" vertical="center" wrapText="1"/>
    </xf>
    <xf numFmtId="0" fontId="2" fillId="0" borderId="1" xfId="0" applyFont="1" applyBorder="1" applyAlignment="1">
      <alignment vertical="top" wrapText="1"/>
    </xf>
    <xf numFmtId="0" fontId="10" fillId="0" borderId="1" xfId="0" applyFont="1" applyBorder="1" applyAlignment="1">
      <alignment horizontal="right" vertical="center" wrapText="1"/>
    </xf>
    <xf numFmtId="0" fontId="5" fillId="4" borderId="1" xfId="0" applyFont="1" applyFill="1" applyBorder="1" applyAlignment="1">
      <alignment vertical="top" wrapText="1"/>
    </xf>
    <xf numFmtId="0" fontId="6" fillId="4" borderId="1" xfId="0" applyFont="1" applyFill="1" applyBorder="1" applyAlignment="1">
      <alignment horizontal="center" vertical="center" wrapText="1"/>
    </xf>
    <xf numFmtId="0" fontId="11" fillId="4" borderId="1" xfId="0" applyFont="1" applyFill="1" applyBorder="1" applyAlignment="1">
      <alignment horizontal="center" vertical="center"/>
    </xf>
    <xf numFmtId="0" fontId="8" fillId="4" borderId="1" xfId="0" applyFont="1" applyFill="1" applyBorder="1" applyAlignment="1">
      <alignment vertical="top" wrapText="1"/>
    </xf>
    <xf numFmtId="0" fontId="10" fillId="4" borderId="1" xfId="0" applyFont="1" applyFill="1" applyBorder="1" applyAlignment="1">
      <alignment horizontal="right" vertical="center" wrapText="1"/>
    </xf>
    <xf numFmtId="0" fontId="2" fillId="4" borderId="1" xfId="0" applyFont="1" applyFill="1" applyBorder="1" applyAlignment="1">
      <alignment vertical="top" wrapText="1"/>
    </xf>
    <xf numFmtId="0" fontId="8" fillId="0" borderId="1" xfId="0" applyFont="1" applyBorder="1" applyAlignment="1">
      <alignment vertical="center" wrapText="1"/>
    </xf>
    <xf numFmtId="164" fontId="9" fillId="0" borderId="1" xfId="0" applyNumberFormat="1" applyFont="1" applyBorder="1" applyAlignment="1">
      <alignment horizontal="right" vertical="center"/>
    </xf>
    <xf numFmtId="0" fontId="8" fillId="4" borderId="1" xfId="0" applyFont="1" applyFill="1" applyBorder="1" applyAlignment="1">
      <alignment vertical="center" wrapText="1"/>
    </xf>
    <xf numFmtId="0" fontId="10" fillId="4" borderId="1" xfId="0" applyFont="1" applyFill="1" applyBorder="1" applyAlignment="1">
      <alignment horizontal="right" vertical="center"/>
    </xf>
    <xf numFmtId="164" fontId="12" fillId="5" borderId="1" xfId="0" applyNumberFormat="1" applyFont="1" applyFill="1" applyBorder="1" applyAlignment="1">
      <alignment horizontal="right" vertical="center"/>
    </xf>
    <xf numFmtId="0" fontId="10" fillId="0" borderId="0" xfId="0" applyFont="1" applyAlignment="1">
      <alignment horizontal="right" vertical="center"/>
    </xf>
    <xf numFmtId="164" fontId="8" fillId="0" borderId="1" xfId="0" applyNumberFormat="1" applyFont="1" applyBorder="1" applyAlignment="1">
      <alignment horizontal="right" vertical="center"/>
    </xf>
    <xf numFmtId="165" fontId="8" fillId="0" borderId="1" xfId="0" applyNumberFormat="1" applyFont="1" applyBorder="1" applyAlignment="1">
      <alignment horizontal="right" vertical="center"/>
    </xf>
    <xf numFmtId="0" fontId="10" fillId="0" borderId="1" xfId="0" applyFont="1" applyBorder="1" applyAlignment="1">
      <alignment horizontal="right" vertical="center"/>
    </xf>
    <xf numFmtId="0" fontId="8" fillId="0" borderId="1" xfId="0" applyFont="1" applyBorder="1"/>
    <xf numFmtId="0" fontId="11" fillId="0" borderId="1" xfId="0" applyFont="1" applyBorder="1" applyAlignment="1">
      <alignment horizontal="center" vertical="center"/>
    </xf>
    <xf numFmtId="164" fontId="13" fillId="0" borderId="1" xfId="0" applyNumberFormat="1" applyFont="1" applyBorder="1" applyAlignment="1">
      <alignment horizontal="right" vertical="center"/>
    </xf>
    <xf numFmtId="0" fontId="4" fillId="3" borderId="0" xfId="0" applyFont="1" applyFill="1" applyAlignment="1">
      <alignment horizontal="left" vertical="center"/>
    </xf>
    <xf numFmtId="0" fontId="0" fillId="0" borderId="0" xfId="0"/>
    <xf numFmtId="0" fontId="8" fillId="0" borderId="0" xfId="0" applyFont="1" applyAlignment="1">
      <alignment vertical="top" wrapText="1"/>
    </xf>
    <xf numFmtId="0" fontId="2" fillId="0" borderId="0" xfId="0" applyFont="1" applyAlignment="1">
      <alignment horizontal="left" vertical="center"/>
    </xf>
    <xf numFmtId="0" fontId="3" fillId="5" borderId="1" xfId="0" applyFont="1" applyFill="1" applyBorder="1" applyAlignment="1">
      <alignment horizontal="left" vertical="center"/>
    </xf>
    <xf numFmtId="0" fontId="0" fillId="0" borderId="1" xfId="0" applyBorder="1"/>
    <xf numFmtId="0" fontId="4" fillId="0" borderId="0" xfId="0" applyFont="1" applyAlignment="1">
      <alignment horizontal="left" vertical="center"/>
    </xf>
    <xf numFmtId="0" fontId="2" fillId="0" borderId="0" xfId="0" applyFont="1" applyAlignment="1">
      <alignment vertical="center"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7"/>
  <sheetViews>
    <sheetView showGridLines="0" tabSelected="1" workbookViewId="0">
      <pane ySplit="4" topLeftCell="A5" activePane="bottomLeft" state="frozen"/>
      <selection pane="bottomLeft" activeCell="D7" sqref="D7"/>
    </sheetView>
  </sheetViews>
  <sheetFormatPr baseColWidth="10" defaultColWidth="8.83203125" defaultRowHeight="15" x14ac:dyDescent="0.2"/>
  <cols>
    <col min="1" max="1" width="32" customWidth="1"/>
    <col min="2" max="2" width="20" customWidth="1"/>
    <col min="3" max="3" width="12" customWidth="1"/>
    <col min="4" max="4" width="65" customWidth="1"/>
    <col min="5" max="5" width="18" customWidth="1"/>
    <col min="6" max="6" width="38" customWidth="1"/>
  </cols>
  <sheetData>
    <row r="1" spans="1:6" ht="28" customHeight="1" x14ac:dyDescent="0.2">
      <c r="A1" s="1" t="s">
        <v>0</v>
      </c>
    </row>
    <row r="2" spans="1:6" x14ac:dyDescent="0.2">
      <c r="A2" s="2" t="s">
        <v>103</v>
      </c>
    </row>
    <row r="4" spans="1:6" ht="32" customHeight="1" x14ac:dyDescent="0.2">
      <c r="A4" s="3" t="s">
        <v>1</v>
      </c>
      <c r="B4" s="3" t="s">
        <v>2</v>
      </c>
      <c r="C4" s="3" t="s">
        <v>3</v>
      </c>
      <c r="D4" s="3" t="s">
        <v>4</v>
      </c>
      <c r="E4" s="3" t="s">
        <v>5</v>
      </c>
      <c r="F4" s="3" t="s">
        <v>6</v>
      </c>
    </row>
    <row r="5" spans="1:6" ht="24" customHeight="1" x14ac:dyDescent="0.2">
      <c r="A5" s="29" t="s">
        <v>7</v>
      </c>
      <c r="B5" s="30"/>
      <c r="C5" s="30"/>
      <c r="D5" s="30"/>
      <c r="E5" s="30"/>
      <c r="F5" s="30"/>
    </row>
    <row r="6" spans="1:6" ht="98" x14ac:dyDescent="0.2">
      <c r="A6" s="4" t="s">
        <v>8</v>
      </c>
      <c r="B6" s="5" t="s">
        <v>9</v>
      </c>
      <c r="C6" s="6" t="s">
        <v>10</v>
      </c>
      <c r="D6" s="7" t="s">
        <v>11</v>
      </c>
      <c r="E6" s="8">
        <v>22000</v>
      </c>
      <c r="F6" s="9" t="s">
        <v>12</v>
      </c>
    </row>
    <row r="7" spans="1:6" ht="56" x14ac:dyDescent="0.2">
      <c r="A7" s="4" t="s">
        <v>13</v>
      </c>
      <c r="B7" s="5" t="s">
        <v>9</v>
      </c>
      <c r="C7" s="6" t="s">
        <v>10</v>
      </c>
      <c r="D7" s="7" t="s">
        <v>14</v>
      </c>
      <c r="E7" s="8">
        <v>4500</v>
      </c>
      <c r="F7" s="9"/>
    </row>
    <row r="8" spans="1:6" ht="98" x14ac:dyDescent="0.2">
      <c r="A8" s="4" t="s">
        <v>15</v>
      </c>
      <c r="B8" s="5" t="s">
        <v>9</v>
      </c>
      <c r="C8" s="6" t="s">
        <v>10</v>
      </c>
      <c r="D8" s="7" t="s">
        <v>16</v>
      </c>
      <c r="E8" s="8">
        <v>15000</v>
      </c>
      <c r="F8" s="9" t="s">
        <v>17</v>
      </c>
    </row>
    <row r="9" spans="1:6" ht="56" x14ac:dyDescent="0.2">
      <c r="A9" s="4" t="s">
        <v>18</v>
      </c>
      <c r="B9" s="5" t="s">
        <v>9</v>
      </c>
      <c r="C9" s="6" t="s">
        <v>10</v>
      </c>
      <c r="D9" s="7" t="s">
        <v>19</v>
      </c>
      <c r="E9" s="8">
        <v>3000</v>
      </c>
      <c r="F9" s="9" t="s">
        <v>20</v>
      </c>
    </row>
    <row r="10" spans="1:6" ht="70" x14ac:dyDescent="0.2">
      <c r="A10" s="4" t="s">
        <v>21</v>
      </c>
      <c r="B10" s="5" t="s">
        <v>9</v>
      </c>
      <c r="C10" s="6" t="s">
        <v>10</v>
      </c>
      <c r="D10" s="7" t="s">
        <v>22</v>
      </c>
      <c r="E10" s="8">
        <v>5000</v>
      </c>
      <c r="F10" s="9" t="s">
        <v>23</v>
      </c>
    </row>
    <row r="12" spans="1:6" ht="24" customHeight="1" x14ac:dyDescent="0.2">
      <c r="A12" s="29" t="s">
        <v>24</v>
      </c>
      <c r="B12" s="30"/>
      <c r="C12" s="30"/>
      <c r="D12" s="30"/>
      <c r="E12" s="30"/>
      <c r="F12" s="30"/>
    </row>
    <row r="13" spans="1:6" ht="70" x14ac:dyDescent="0.2">
      <c r="A13" s="4" t="s">
        <v>25</v>
      </c>
      <c r="B13" s="5" t="s">
        <v>26</v>
      </c>
      <c r="C13" s="6" t="s">
        <v>10</v>
      </c>
      <c r="D13" s="7" t="s">
        <v>27</v>
      </c>
      <c r="E13" s="8">
        <v>4000</v>
      </c>
      <c r="F13" s="9" t="s">
        <v>28</v>
      </c>
    </row>
    <row r="14" spans="1:6" ht="84" x14ac:dyDescent="0.2">
      <c r="A14" s="4" t="s">
        <v>29</v>
      </c>
      <c r="B14" s="5" t="s">
        <v>26</v>
      </c>
      <c r="C14" s="6" t="s">
        <v>10</v>
      </c>
      <c r="D14" s="7" t="s">
        <v>30</v>
      </c>
      <c r="E14" s="8">
        <v>12000</v>
      </c>
      <c r="F14" s="9" t="s">
        <v>31</v>
      </c>
    </row>
    <row r="15" spans="1:6" ht="70" x14ac:dyDescent="0.2">
      <c r="A15" s="4" t="s">
        <v>32</v>
      </c>
      <c r="B15" s="5" t="s">
        <v>26</v>
      </c>
      <c r="C15" s="6" t="s">
        <v>10</v>
      </c>
      <c r="D15" s="7" t="s">
        <v>33</v>
      </c>
      <c r="E15" s="8">
        <v>11000</v>
      </c>
      <c r="F15" s="9" t="s">
        <v>34</v>
      </c>
    </row>
    <row r="16" spans="1:6" ht="70" x14ac:dyDescent="0.2">
      <c r="A16" s="4" t="s">
        <v>35</v>
      </c>
      <c r="B16" s="5" t="s">
        <v>26</v>
      </c>
      <c r="C16" s="6" t="s">
        <v>10</v>
      </c>
      <c r="D16" s="7" t="s">
        <v>36</v>
      </c>
      <c r="E16" s="8">
        <v>4500</v>
      </c>
      <c r="F16" s="9" t="s">
        <v>37</v>
      </c>
    </row>
    <row r="17" spans="1:6" ht="56" x14ac:dyDescent="0.2">
      <c r="A17" s="4" t="s">
        <v>38</v>
      </c>
      <c r="B17" s="5" t="s">
        <v>26</v>
      </c>
      <c r="C17" s="6" t="s">
        <v>10</v>
      </c>
      <c r="D17" s="7" t="s">
        <v>39</v>
      </c>
      <c r="E17" s="10" t="s">
        <v>40</v>
      </c>
      <c r="F17" s="9" t="s">
        <v>41</v>
      </c>
    </row>
    <row r="18" spans="1:6" ht="42" x14ac:dyDescent="0.2">
      <c r="A18" s="4" t="s">
        <v>42</v>
      </c>
      <c r="B18" s="5" t="s">
        <v>26</v>
      </c>
      <c r="C18" s="6" t="s">
        <v>10</v>
      </c>
      <c r="D18" s="7" t="s">
        <v>43</v>
      </c>
      <c r="E18" s="10" t="s">
        <v>40</v>
      </c>
      <c r="F18" s="9" t="s">
        <v>44</v>
      </c>
    </row>
    <row r="19" spans="1:6" ht="42" x14ac:dyDescent="0.2">
      <c r="A19" s="4" t="s">
        <v>45</v>
      </c>
      <c r="B19" s="5" t="s">
        <v>26</v>
      </c>
      <c r="C19" s="6" t="s">
        <v>10</v>
      </c>
      <c r="D19" s="7" t="s">
        <v>46</v>
      </c>
      <c r="E19" s="10" t="s">
        <v>47</v>
      </c>
      <c r="F19" s="9" t="s">
        <v>48</v>
      </c>
    </row>
    <row r="20" spans="1:6" ht="42" x14ac:dyDescent="0.2">
      <c r="A20" s="4" t="s">
        <v>49</v>
      </c>
      <c r="B20" s="5" t="s">
        <v>26</v>
      </c>
      <c r="C20" s="6" t="s">
        <v>10</v>
      </c>
      <c r="D20" s="7" t="s">
        <v>50</v>
      </c>
      <c r="E20" s="10" t="s">
        <v>47</v>
      </c>
      <c r="F20" s="9" t="s">
        <v>51</v>
      </c>
    </row>
    <row r="22" spans="1:6" ht="24" customHeight="1" x14ac:dyDescent="0.2">
      <c r="A22" s="29" t="s">
        <v>52</v>
      </c>
      <c r="B22" s="30"/>
      <c r="C22" s="30"/>
      <c r="D22" s="30"/>
      <c r="E22" s="30"/>
      <c r="F22" s="30"/>
    </row>
    <row r="23" spans="1:6" ht="56" x14ac:dyDescent="0.2">
      <c r="A23" s="11" t="s">
        <v>53</v>
      </c>
      <c r="B23" s="12" t="s">
        <v>9</v>
      </c>
      <c r="C23" s="13" t="s">
        <v>54</v>
      </c>
      <c r="D23" s="14" t="s">
        <v>55</v>
      </c>
      <c r="E23" s="15" t="s">
        <v>56</v>
      </c>
      <c r="F23" s="16" t="s">
        <v>57</v>
      </c>
    </row>
    <row r="24" spans="1:6" ht="56" x14ac:dyDescent="0.2">
      <c r="A24" s="11" t="s">
        <v>58</v>
      </c>
      <c r="B24" s="12" t="s">
        <v>59</v>
      </c>
      <c r="C24" s="13" t="s">
        <v>54</v>
      </c>
      <c r="D24" s="14" t="s">
        <v>60</v>
      </c>
      <c r="E24" s="15" t="s">
        <v>56</v>
      </c>
      <c r="F24" s="16" t="s">
        <v>57</v>
      </c>
    </row>
    <row r="26" spans="1:6" ht="24" customHeight="1" x14ac:dyDescent="0.2">
      <c r="A26" s="29" t="s">
        <v>61</v>
      </c>
      <c r="B26" s="30"/>
      <c r="C26" s="30"/>
      <c r="D26" s="30"/>
      <c r="E26" s="30"/>
      <c r="F26" s="30"/>
    </row>
    <row r="27" spans="1:6" ht="70" x14ac:dyDescent="0.2">
      <c r="A27" s="4" t="s">
        <v>62</v>
      </c>
      <c r="B27" s="5" t="s">
        <v>63</v>
      </c>
      <c r="C27" s="6" t="s">
        <v>10</v>
      </c>
      <c r="D27" s="7" t="s">
        <v>64</v>
      </c>
      <c r="E27" s="8">
        <v>4500</v>
      </c>
      <c r="F27" s="9" t="s">
        <v>65</v>
      </c>
    </row>
    <row r="28" spans="1:6" ht="70" x14ac:dyDescent="0.2">
      <c r="A28" s="4" t="s">
        <v>66</v>
      </c>
      <c r="B28" s="5" t="s">
        <v>26</v>
      </c>
      <c r="C28" s="6" t="s">
        <v>10</v>
      </c>
      <c r="D28" s="7" t="s">
        <v>67</v>
      </c>
      <c r="E28" s="8">
        <v>1800</v>
      </c>
      <c r="F28" s="9" t="s">
        <v>68</v>
      </c>
    </row>
    <row r="29" spans="1:6" ht="42" x14ac:dyDescent="0.2">
      <c r="A29" s="4" t="s">
        <v>69</v>
      </c>
      <c r="B29" s="5" t="s">
        <v>63</v>
      </c>
      <c r="C29" s="6" t="s">
        <v>10</v>
      </c>
      <c r="D29" s="7" t="s">
        <v>70</v>
      </c>
      <c r="E29" s="8">
        <v>1500</v>
      </c>
      <c r="F29" s="9" t="s">
        <v>71</v>
      </c>
    </row>
    <row r="31" spans="1:6" ht="24" customHeight="1" x14ac:dyDescent="0.2">
      <c r="A31" s="29" t="s">
        <v>72</v>
      </c>
      <c r="B31" s="30"/>
      <c r="C31" s="30"/>
      <c r="D31" s="30"/>
      <c r="E31" s="30"/>
      <c r="F31" s="30"/>
    </row>
    <row r="32" spans="1:6" ht="42" x14ac:dyDescent="0.2">
      <c r="A32" s="4" t="s">
        <v>73</v>
      </c>
      <c r="B32" s="5" t="s">
        <v>26</v>
      </c>
      <c r="C32" s="6" t="s">
        <v>10</v>
      </c>
      <c r="D32" s="7" t="s">
        <v>74</v>
      </c>
      <c r="E32" s="10" t="s">
        <v>47</v>
      </c>
      <c r="F32" s="9" t="s">
        <v>75</v>
      </c>
    </row>
    <row r="33" spans="1:6" ht="42" x14ac:dyDescent="0.2">
      <c r="A33" s="4" t="s">
        <v>76</v>
      </c>
      <c r="B33" s="5" t="s">
        <v>26</v>
      </c>
      <c r="C33" s="6" t="s">
        <v>10</v>
      </c>
      <c r="D33" s="7" t="s">
        <v>77</v>
      </c>
      <c r="E33" s="10" t="s">
        <v>47</v>
      </c>
      <c r="F33" s="9" t="s">
        <v>78</v>
      </c>
    </row>
    <row r="34" spans="1:6" ht="42" x14ac:dyDescent="0.2">
      <c r="A34" s="4" t="s">
        <v>79</v>
      </c>
      <c r="B34" s="5" t="s">
        <v>26</v>
      </c>
      <c r="C34" s="6" t="s">
        <v>10</v>
      </c>
      <c r="D34" s="7" t="s">
        <v>80</v>
      </c>
      <c r="E34" s="10" t="s">
        <v>47</v>
      </c>
      <c r="F34" s="9" t="s">
        <v>78</v>
      </c>
    </row>
    <row r="36" spans="1:6" ht="24" customHeight="1" x14ac:dyDescent="0.2">
      <c r="A36" s="29" t="s">
        <v>81</v>
      </c>
      <c r="B36" s="30"/>
      <c r="C36" s="30"/>
      <c r="D36" s="30"/>
      <c r="E36" s="30"/>
      <c r="F36" s="30"/>
    </row>
    <row r="37" spans="1:6" ht="42" x14ac:dyDescent="0.2">
      <c r="A37" s="4" t="s">
        <v>82</v>
      </c>
      <c r="B37" s="5" t="s">
        <v>83</v>
      </c>
      <c r="C37" s="6" t="s">
        <v>10</v>
      </c>
      <c r="D37" s="7" t="s">
        <v>84</v>
      </c>
      <c r="E37" s="8">
        <v>6000</v>
      </c>
      <c r="F37" s="9" t="s">
        <v>85</v>
      </c>
    </row>
  </sheetData>
  <mergeCells count="6">
    <mergeCell ref="A36:F36"/>
    <mergeCell ref="A5:F5"/>
    <mergeCell ref="A31:F31"/>
    <mergeCell ref="A22:F22"/>
    <mergeCell ref="A12:F12"/>
    <mergeCell ref="A26:F2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0"/>
  <sheetViews>
    <sheetView showGridLines="0" workbookViewId="0"/>
  </sheetViews>
  <sheetFormatPr baseColWidth="10" defaultColWidth="8.83203125" defaultRowHeight="15" x14ac:dyDescent="0.2"/>
  <cols>
    <col min="1" max="1" width="55" customWidth="1"/>
    <col min="2" max="2" width="14" customWidth="1"/>
    <col min="3" max="3" width="24" customWidth="1"/>
    <col min="4" max="4" width="12" customWidth="1"/>
  </cols>
  <sheetData>
    <row r="1" spans="1:4" ht="28" customHeight="1" x14ac:dyDescent="0.2">
      <c r="A1" s="1" t="s">
        <v>86</v>
      </c>
    </row>
    <row r="3" spans="1:4" ht="16" x14ac:dyDescent="0.2">
      <c r="A3" s="35" t="s">
        <v>87</v>
      </c>
      <c r="B3" s="30"/>
      <c r="C3" s="30"/>
      <c r="D3" s="30"/>
    </row>
    <row r="4" spans="1:4" ht="48" customHeight="1" x14ac:dyDescent="0.2">
      <c r="A4" s="31" t="s">
        <v>88</v>
      </c>
      <c r="B4" s="30"/>
      <c r="C4" s="30"/>
      <c r="D4" s="30"/>
    </row>
    <row r="5" spans="1:4" ht="30" customHeight="1" x14ac:dyDescent="0.2">
      <c r="A5" s="31" t="s">
        <v>89</v>
      </c>
      <c r="B5" s="30"/>
      <c r="C5" s="30"/>
      <c r="D5" s="30"/>
    </row>
    <row r="7" spans="1:4" ht="24" customHeight="1" x14ac:dyDescent="0.2">
      <c r="A7" s="29" t="s">
        <v>90</v>
      </c>
      <c r="B7" s="30"/>
      <c r="C7" s="30"/>
      <c r="D7" s="30"/>
    </row>
    <row r="8" spans="1:4" ht="32" customHeight="1" x14ac:dyDescent="0.2">
      <c r="A8" s="3" t="s">
        <v>1</v>
      </c>
      <c r="B8" s="3" t="s">
        <v>3</v>
      </c>
      <c r="C8" s="3" t="s">
        <v>5</v>
      </c>
    </row>
    <row r="9" spans="1:4" x14ac:dyDescent="0.2">
      <c r="A9" s="17" t="s">
        <v>8</v>
      </c>
      <c r="B9" s="6" t="s">
        <v>10</v>
      </c>
      <c r="C9" s="18">
        <v>22000</v>
      </c>
    </row>
    <row r="10" spans="1:4" x14ac:dyDescent="0.2">
      <c r="A10" s="17" t="s">
        <v>13</v>
      </c>
      <c r="B10" s="6" t="s">
        <v>10</v>
      </c>
      <c r="C10" s="18">
        <v>4500</v>
      </c>
    </row>
    <row r="11" spans="1:4" x14ac:dyDescent="0.2">
      <c r="A11" s="17" t="s">
        <v>15</v>
      </c>
      <c r="B11" s="6" t="s">
        <v>10</v>
      </c>
      <c r="C11" s="18">
        <v>15000</v>
      </c>
    </row>
    <row r="12" spans="1:4" x14ac:dyDescent="0.2">
      <c r="A12" s="17" t="s">
        <v>18</v>
      </c>
      <c r="B12" s="6" t="s">
        <v>10</v>
      </c>
      <c r="C12" s="18">
        <v>3000</v>
      </c>
    </row>
    <row r="13" spans="1:4" x14ac:dyDescent="0.2">
      <c r="A13" s="17" t="s">
        <v>21</v>
      </c>
      <c r="B13" s="6" t="s">
        <v>10</v>
      </c>
      <c r="C13" s="18">
        <v>5000</v>
      </c>
    </row>
    <row r="14" spans="1:4" x14ac:dyDescent="0.2">
      <c r="A14" s="19" t="s">
        <v>53</v>
      </c>
      <c r="B14" s="13" t="s">
        <v>54</v>
      </c>
      <c r="C14" s="20" t="s">
        <v>56</v>
      </c>
    </row>
    <row r="15" spans="1:4" x14ac:dyDescent="0.2">
      <c r="A15" s="19" t="s">
        <v>58</v>
      </c>
      <c r="B15" s="13" t="s">
        <v>54</v>
      </c>
      <c r="C15" s="20" t="s">
        <v>56</v>
      </c>
    </row>
    <row r="16" spans="1:4" ht="16" x14ac:dyDescent="0.2">
      <c r="A16" s="33" t="s">
        <v>91</v>
      </c>
      <c r="B16" s="34"/>
      <c r="C16" s="21">
        <f>C9+C10+C11+C12+C13</f>
        <v>49500</v>
      </c>
    </row>
    <row r="17" spans="1:4" x14ac:dyDescent="0.2">
      <c r="A17" s="32" t="s">
        <v>92</v>
      </c>
      <c r="B17" s="30"/>
      <c r="C17" s="22" t="s">
        <v>56</v>
      </c>
    </row>
    <row r="19" spans="1:4" ht="24" customHeight="1" x14ac:dyDescent="0.2">
      <c r="A19" s="29" t="s">
        <v>93</v>
      </c>
      <c r="B19" s="30"/>
      <c r="C19" s="30"/>
      <c r="D19" s="30"/>
    </row>
    <row r="20" spans="1:4" ht="32" customHeight="1" x14ac:dyDescent="0.2">
      <c r="A20" s="3" t="s">
        <v>1</v>
      </c>
      <c r="B20" s="3" t="s">
        <v>3</v>
      </c>
      <c r="C20" s="3" t="s">
        <v>5</v>
      </c>
    </row>
    <row r="21" spans="1:4" x14ac:dyDescent="0.2">
      <c r="A21" s="17" t="s">
        <v>25</v>
      </c>
      <c r="B21" s="6" t="s">
        <v>10</v>
      </c>
      <c r="C21" s="23">
        <v>4000</v>
      </c>
    </row>
    <row r="22" spans="1:4" x14ac:dyDescent="0.2">
      <c r="A22" s="17" t="s">
        <v>29</v>
      </c>
      <c r="B22" s="6" t="s">
        <v>10</v>
      </c>
      <c r="C22" s="23">
        <v>12000</v>
      </c>
    </row>
    <row r="23" spans="1:4" x14ac:dyDescent="0.2">
      <c r="A23" s="17" t="s">
        <v>94</v>
      </c>
      <c r="B23" s="6" t="s">
        <v>10</v>
      </c>
      <c r="C23" s="23">
        <v>11000</v>
      </c>
    </row>
    <row r="24" spans="1:4" x14ac:dyDescent="0.2">
      <c r="A24" s="17" t="s">
        <v>35</v>
      </c>
      <c r="B24" s="6" t="s">
        <v>10</v>
      </c>
      <c r="C24" s="23">
        <v>4500</v>
      </c>
    </row>
    <row r="25" spans="1:4" x14ac:dyDescent="0.2">
      <c r="A25" s="17" t="s">
        <v>95</v>
      </c>
      <c r="B25" s="6" t="s">
        <v>10</v>
      </c>
      <c r="C25" s="24">
        <v>4500</v>
      </c>
    </row>
    <row r="26" spans="1:4" x14ac:dyDescent="0.2">
      <c r="A26" s="17" t="s">
        <v>66</v>
      </c>
      <c r="B26" s="6" t="s">
        <v>10</v>
      </c>
      <c r="C26" s="23">
        <v>1800</v>
      </c>
    </row>
    <row r="27" spans="1:4" x14ac:dyDescent="0.2">
      <c r="A27" s="17" t="s">
        <v>96</v>
      </c>
      <c r="B27" s="6" t="s">
        <v>10</v>
      </c>
      <c r="C27" s="24">
        <v>1500</v>
      </c>
    </row>
    <row r="28" spans="1:4" x14ac:dyDescent="0.2">
      <c r="A28" s="17" t="s">
        <v>97</v>
      </c>
      <c r="B28" s="6" t="s">
        <v>10</v>
      </c>
      <c r="C28" s="25" t="s">
        <v>40</v>
      </c>
    </row>
    <row r="29" spans="1:4" x14ac:dyDescent="0.2">
      <c r="A29" s="17" t="s">
        <v>98</v>
      </c>
      <c r="B29" s="6" t="s">
        <v>10</v>
      </c>
      <c r="C29" s="25" t="s">
        <v>40</v>
      </c>
    </row>
    <row r="30" spans="1:4" x14ac:dyDescent="0.2">
      <c r="A30" s="17" t="s">
        <v>45</v>
      </c>
      <c r="B30" s="6" t="s">
        <v>10</v>
      </c>
      <c r="C30" s="25" t="s">
        <v>47</v>
      </c>
    </row>
    <row r="31" spans="1:4" x14ac:dyDescent="0.2">
      <c r="A31" s="17" t="s">
        <v>49</v>
      </c>
      <c r="B31" s="6" t="s">
        <v>10</v>
      </c>
      <c r="C31" s="25" t="s">
        <v>47</v>
      </c>
    </row>
    <row r="32" spans="1:4" x14ac:dyDescent="0.2">
      <c r="A32" s="17" t="s">
        <v>99</v>
      </c>
      <c r="B32" s="6" t="s">
        <v>10</v>
      </c>
      <c r="C32" s="25" t="s">
        <v>47</v>
      </c>
    </row>
    <row r="33" spans="1:4" x14ac:dyDescent="0.2">
      <c r="A33" s="17" t="s">
        <v>100</v>
      </c>
      <c r="B33" s="6" t="s">
        <v>10</v>
      </c>
      <c r="C33" s="25" t="s">
        <v>47</v>
      </c>
    </row>
    <row r="34" spans="1:4" x14ac:dyDescent="0.2">
      <c r="A34" s="17" t="s">
        <v>79</v>
      </c>
      <c r="B34" s="6" t="s">
        <v>10</v>
      </c>
      <c r="C34" s="25" t="s">
        <v>47</v>
      </c>
    </row>
    <row r="36" spans="1:4" ht="24" customHeight="1" x14ac:dyDescent="0.2">
      <c r="A36" s="29" t="s">
        <v>101</v>
      </c>
      <c r="B36" s="30"/>
      <c r="C36" s="30"/>
      <c r="D36" s="30"/>
    </row>
    <row r="37" spans="1:4" x14ac:dyDescent="0.2">
      <c r="A37" s="26" t="s">
        <v>82</v>
      </c>
      <c r="B37" s="27" t="s">
        <v>10</v>
      </c>
      <c r="C37" s="28">
        <v>6000</v>
      </c>
    </row>
    <row r="38" spans="1:4" ht="30" customHeight="1" x14ac:dyDescent="0.2">
      <c r="A38" s="36" t="s">
        <v>85</v>
      </c>
      <c r="B38" s="30"/>
      <c r="C38" s="30"/>
    </row>
    <row r="40" spans="1:4" x14ac:dyDescent="0.2">
      <c r="A40" s="32" t="s">
        <v>102</v>
      </c>
      <c r="B40" s="30"/>
      <c r="C40" s="30"/>
      <c r="D40" s="30"/>
    </row>
  </sheetData>
  <mergeCells count="10">
    <mergeCell ref="A5:D5"/>
    <mergeCell ref="A40:D40"/>
    <mergeCell ref="A16:B16"/>
    <mergeCell ref="A4:D4"/>
    <mergeCell ref="A3:D3"/>
    <mergeCell ref="A7:D7"/>
    <mergeCell ref="A19:D19"/>
    <mergeCell ref="A17:B17"/>
    <mergeCell ref="A38:C38"/>
    <mergeCell ref="A36:D3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2</vt:i4>
      </vt:variant>
    </vt:vector>
  </HeadingPairs>
  <TitlesOfParts>
    <vt:vector size="2" baseType="lpstr">
      <vt:lpstr>01_Catalogo_Prezzi</vt:lpstr>
      <vt:lpstr>02_Pacchetto_Consigliato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Carlo Sanvoisin</cp:lastModifiedBy>
  <dcterms:created xsi:type="dcterms:W3CDTF">2026-05-27T17:54:22Z</dcterms:created>
  <dcterms:modified xsi:type="dcterms:W3CDTF">2026-05-27T19:26:03Z</dcterms:modified>
</cp:coreProperties>
</file>
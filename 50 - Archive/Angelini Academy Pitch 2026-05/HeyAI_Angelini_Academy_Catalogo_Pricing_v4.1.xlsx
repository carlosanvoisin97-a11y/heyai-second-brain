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Note" sheetId="1" state="visible" r:id="rId1"/>
    <sheet name="01_Catalogo_Prezzi" sheetId="2" state="visible" r:id="rId2"/>
    <sheet name="02_Pacchetto_Consigliato" sheetId="3" state="visible" r:id="rId3"/>
    <sheet name="03_Sconti_Bundl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€&quot; #,##0"/>
    <numFmt numFmtId="165" formatCode="&quot;€&quot; #,##0 &quot;/mese&quot;"/>
  </numFmts>
  <fonts count="17">
    <font>
      <name val="Calibri"/>
      <family val="2"/>
      <color theme="1"/>
      <sz val="11"/>
      <scheme val="minor"/>
    </font>
    <font>
      <name val="Arial"/>
      <b val="1"/>
      <color rgb="002B8C96"/>
      <sz val="16"/>
    </font>
    <font>
      <name val="Arial"/>
      <sz val="10"/>
    </font>
    <font>
      <name val="Arial"/>
      <color rgb="00000000"/>
      <sz val="10"/>
    </font>
    <font>
      <name val="Arial"/>
      <b val="1"/>
      <sz val="10"/>
    </font>
    <font>
      <name val="Arial"/>
      <b val="1"/>
      <color rgb="00000000"/>
      <sz val="10"/>
    </font>
    <font>
      <name val="Arial"/>
      <i val="1"/>
      <color rgb="00606060"/>
      <sz val="9"/>
    </font>
    <font>
      <name val="Arial"/>
      <b val="1"/>
      <color rgb="00FFFFFF"/>
      <sz val="11"/>
    </font>
    <font>
      <name val="Arial"/>
      <b val="1"/>
      <color rgb="00156082"/>
      <sz val="12"/>
    </font>
    <font>
      <name val="Arial"/>
      <b val="1"/>
      <color rgb="00C58800"/>
      <sz val="14"/>
    </font>
    <font>
      <name val="Arial"/>
      <color rgb="00606060"/>
      <sz val="9"/>
    </font>
    <font>
      <name val="Arial"/>
      <b val="1"/>
      <color rgb="002B8C96"/>
      <sz val="10"/>
    </font>
    <font>
      <name val="Arial"/>
      <b val="1"/>
      <color rgb="002B8C96"/>
      <sz val="14"/>
    </font>
    <font>
      <name val="Arial"/>
      <b val="1"/>
      <color rgb="00808080"/>
      <sz val="14"/>
    </font>
    <font>
      <name val="Arial"/>
      <i val="1"/>
      <color rgb="00A0A0A0"/>
      <sz val="10"/>
    </font>
    <font>
      <name val="Arial"/>
      <b val="1"/>
      <color rgb="00FFFFFF"/>
      <sz val="12"/>
    </font>
    <font>
      <name val="Arial"/>
      <i val="1"/>
      <color rgb="00FFFFFF"/>
      <sz val="9"/>
    </font>
  </fonts>
  <fills count="6">
    <fill>
      <patternFill/>
    </fill>
    <fill>
      <patternFill patternType="gray125"/>
    </fill>
    <fill>
      <patternFill patternType="solid">
        <fgColor rgb="00EDF2F7"/>
      </patternFill>
    </fill>
    <fill>
      <patternFill patternType="solid">
        <fgColor rgb="001F3A4D"/>
      </patternFill>
    </fill>
    <fill>
      <patternFill patternType="solid">
        <fgColor rgb="002B8C96"/>
      </patternFill>
    </fill>
    <fill>
      <patternFill patternType="solid">
        <fgColor rgb="0015608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2" borderId="0" applyAlignment="1" pivotButton="0" quotePrefix="0" xfId="0">
      <alignment vertical="top" wrapText="1"/>
    </xf>
    <xf numFmtId="0" fontId="6" fillId="0" borderId="0" pivotButton="0" quotePrefix="0" xfId="0"/>
    <xf numFmtId="0" fontId="7" fillId="3" borderId="1" applyAlignment="1" pivotButton="0" quotePrefix="0" xfId="0">
      <alignment horizontal="center" vertical="center" wrapText="1"/>
    </xf>
    <xf numFmtId="0" fontId="8" fillId="2" borderId="0" applyAlignment="1" pivotButton="0" quotePrefix="0" xfId="0">
      <alignment horizontal="left" vertical="center"/>
    </xf>
    <xf numFmtId="0" fontId="9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10" fillId="0" borderId="1" applyAlignment="1" pivotButton="0" quotePrefix="0" xfId="0">
      <alignment horizontal="center" vertical="center" wrapText="1"/>
    </xf>
    <xf numFmtId="164" fontId="11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vertical="top" wrapText="1"/>
    </xf>
    <xf numFmtId="0" fontId="12" fillId="0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center" vertical="center"/>
    </xf>
    <xf numFmtId="0" fontId="14" fillId="0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vertical="center" wrapText="1"/>
    </xf>
    <xf numFmtId="0" fontId="10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vertical="center" wrapText="1"/>
    </xf>
    <xf numFmtId="0" fontId="7" fillId="4" borderId="1" applyAlignment="1" pivotButton="0" quotePrefix="0" xfId="0">
      <alignment horizontal="left" vertical="center"/>
    </xf>
    <xf numFmtId="0" fontId="0" fillId="0" borderId="1" pivotButton="0" quotePrefix="0" xfId="0"/>
    <xf numFmtId="164" fontId="15" fillId="4" borderId="1" applyAlignment="1" pivotButton="0" quotePrefix="0" xfId="0">
      <alignment horizontal="right" vertical="center"/>
    </xf>
    <xf numFmtId="0" fontId="0" fillId="4" borderId="1" pivotButton="0" quotePrefix="0" xfId="0"/>
    <xf numFmtId="164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right" vertical="center"/>
    </xf>
    <xf numFmtId="0" fontId="5" fillId="2" borderId="1" applyAlignment="1" pivotButton="0" quotePrefix="0" xfId="0">
      <alignment horizontal="left" vertical="center"/>
    </xf>
    <xf numFmtId="164" fontId="5" fillId="2" borderId="1" applyAlignment="1" pivotButton="0" quotePrefix="0" xfId="0">
      <alignment horizontal="right" vertical="center"/>
    </xf>
    <xf numFmtId="0" fontId="0" fillId="2" borderId="1" pivotButton="0" quotePrefix="0" xfId="0"/>
    <xf numFmtId="165" fontId="5" fillId="2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left" vertical="center"/>
    </xf>
    <xf numFmtId="165" fontId="6" fillId="0" borderId="1" applyAlignment="1" pivotButton="0" quotePrefix="0" xfId="0">
      <alignment horizontal="right" vertical="center"/>
    </xf>
    <xf numFmtId="0" fontId="7" fillId="5" borderId="1" applyAlignment="1" pivotButton="0" quotePrefix="0" xfId="0">
      <alignment horizontal="left" vertical="center"/>
    </xf>
    <xf numFmtId="164" fontId="15" fillId="5" borderId="1" applyAlignment="1" pivotButton="0" quotePrefix="0" xfId="0">
      <alignment horizontal="right" vertical="center"/>
    </xf>
    <xf numFmtId="0" fontId="16" fillId="5" borderId="1" applyAlignment="1" pivotButton="0" quotePrefix="0" xfId="0">
      <alignment vertical="center" wrapText="1"/>
    </xf>
    <xf numFmtId="0" fontId="3" fillId="0" borderId="1" pivotButton="0" quotePrefix="0" xfId="0"/>
    <xf numFmtId="0" fontId="11" fillId="0" borderId="1" applyAlignment="1" pivotButton="0" quotePrefix="0" xfId="0">
      <alignment horizontal="center" vertical="center"/>
    </xf>
    <xf numFmtId="0" fontId="6" fillId="0" borderId="1" pivotButton="0" quotePrefix="0" xfId="0"/>
    <xf numFmtId="0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80" customWidth="1" min="2" max="2"/>
  </cols>
  <sheetData>
    <row r="1" ht="28" customHeight="1">
      <c r="A1" s="1" t="inlineStr">
        <is>
          <t>Catalogo Servizi e Pricing — Angelini Academy</t>
        </is>
      </c>
    </row>
    <row r="3">
      <c r="A3" s="2" t="inlineStr"/>
      <c r="B3" s="3" t="inlineStr"/>
    </row>
    <row r="4">
      <c r="A4" s="4" t="inlineStr">
        <is>
          <t>Documento per:</t>
        </is>
      </c>
      <c r="B4" s="3" t="inlineStr">
        <is>
          <t>Elena Chiti (FuturItaly) — review economics</t>
        </is>
      </c>
    </row>
    <row r="5">
      <c r="A5" s="4" t="inlineStr">
        <is>
          <t>Versione:</t>
        </is>
      </c>
      <c r="B5" s="3" t="inlineStr">
        <is>
          <t>v4.1 — post call Elena 27/5 · con razionale e investimento primo anno</t>
        </is>
      </c>
    </row>
    <row r="6">
      <c r="A6" s="4" t="inlineStr">
        <is>
          <t>Status:</t>
        </is>
      </c>
      <c r="B6" s="3" t="inlineStr">
        <is>
          <t>Working draft · pacchetto consigliato consolidato</t>
        </is>
      </c>
    </row>
    <row r="7">
      <c r="A7" s="2" t="inlineStr"/>
      <c r="B7" s="3" t="inlineStr"/>
    </row>
    <row r="8">
      <c r="A8" s="5" t="inlineStr">
        <is>
          <t>DECISIONI POST CALL 27/5</t>
        </is>
      </c>
      <c r="B8" s="3" t="inlineStr"/>
    </row>
    <row r="9">
      <c r="A9" s="4" t="inlineStr">
        <is>
          <t>Servizi FuturItaly (rete accademica + bandi UE)</t>
        </is>
      </c>
      <c r="B9" s="3" t="inlineStr">
        <is>
          <t>Rimossi dal nostro catalogo · sono coperti dai vostri 2 incarichi attivi separati con Angelini</t>
        </is>
      </c>
    </row>
    <row r="10">
      <c r="A10" s="4" t="inlineStr">
        <is>
          <t>Hub editoriale (P2.0C) + Batch iniziale (P2.0B)</t>
        </is>
      </c>
      <c r="B10" s="3" t="inlineStr">
        <is>
          <t>Prezzi/effort lato HeyAI vuoti · gestione editoriale FuturItaly · noi facciamo il caricamento dei contenuti nella community (fino a 2 articoli/mese)</t>
        </is>
      </c>
    </row>
    <row r="11">
      <c r="A11" s="4" t="inlineStr">
        <is>
          <t>Riallineamento sito attuale (P1.0)</t>
        </is>
      </c>
      <c r="B11" s="3" t="inlineStr">
        <is>
          <t>Sconsigliato: il mockup è già navigabile · raccomandiamo di partire direttamente con il sito completo</t>
        </is>
      </c>
    </row>
    <row r="12">
      <c r="A12" s="4" t="inlineStr">
        <is>
          <t>4 MVP Intelligenza Artificiale (P1.B)</t>
        </is>
      </c>
      <c r="B12" s="3" t="inlineStr">
        <is>
          <t>Spostato in opzionali (Caterina poco convinta)</t>
        </is>
      </c>
    </row>
    <row r="13">
      <c r="A13" s="4" t="inlineStr">
        <is>
          <t>Area Riservata</t>
        </is>
      </c>
      <c r="B13" s="3" t="inlineStr">
        <is>
          <t>Versione Semplice nel core · Versione Avanzata opzionale</t>
        </is>
      </c>
    </row>
    <row r="14">
      <c r="A14" s="4" t="inlineStr">
        <is>
          <t>Analytics + Dashboard</t>
        </is>
      </c>
      <c r="B14" s="3" t="inlineStr">
        <is>
          <t>Setup GA4 nel core · Dashboard custom proprietaria opzionale</t>
        </is>
      </c>
    </row>
    <row r="15">
      <c r="A15" s="4" t="inlineStr">
        <is>
          <t>Landing eventi</t>
        </is>
      </c>
      <c r="B15" s="3" t="inlineStr">
        <is>
          <t>Tutte opzionali con nota 'da valutare con cliente'</t>
        </is>
      </c>
    </row>
    <row r="16">
      <c r="A16" s="4" t="inlineStr">
        <is>
          <t>Email marketing (setup + continuativo)</t>
        </is>
      </c>
      <c r="B16" s="3" t="inlineStr">
        <is>
          <t>Tutto fuori dal core · opzionali</t>
        </is>
      </c>
    </row>
    <row r="17">
      <c r="A17" s="4" t="inlineStr">
        <is>
          <t>Pubblicazione contenuti editoriali in community</t>
        </is>
      </c>
      <c r="B17" s="3" t="inlineStr">
        <is>
          <t>Servizio incluso fino a 2 articoli/mese (volumi superiori on-demand)</t>
        </is>
      </c>
    </row>
    <row r="18">
      <c r="A18" s="2" t="inlineStr"/>
      <c r="B18" s="3" t="inlineStr"/>
    </row>
    <row r="19">
      <c r="A19" s="5" t="inlineStr">
        <is>
          <t>LEGENDA SIMBOLI NELLA TABELLA</t>
        </is>
      </c>
      <c r="B19" s="3" t="inlineStr"/>
    </row>
    <row r="20">
      <c r="A20" s="4" t="inlineStr">
        <is>
          <t>●</t>
        </is>
      </c>
      <c r="B20" s="3" t="inlineStr">
        <is>
          <t>Voce nel pacchetto consigliato (Configurazione raccomandata)</t>
        </is>
      </c>
    </row>
    <row r="21">
      <c r="A21" s="4" t="inlineStr">
        <is>
          <t>○</t>
        </is>
      </c>
      <c r="B21" s="3" t="inlineStr">
        <is>
          <t>Voce opzionale · da valutare con cliente</t>
        </is>
      </c>
    </row>
    <row r="22">
      <c r="A22" s="4" t="inlineStr">
        <is>
          <t>⚐</t>
        </is>
      </c>
      <c r="B22" s="3" t="inlineStr">
        <is>
          <t>Voce con raccomandazione del team (vedi note)</t>
        </is>
      </c>
    </row>
    <row r="23">
      <c r="A23" s="2" t="inlineStr"/>
      <c r="B23" s="3" t="inlineStr"/>
    </row>
    <row r="24">
      <c r="A24" s="5" t="inlineStr">
        <is>
          <t>INDICE FOGLI</t>
        </is>
      </c>
      <c r="B24" s="3" t="inlineStr"/>
    </row>
    <row r="25">
      <c r="A25" s="4" t="inlineStr">
        <is>
          <t>00_Note</t>
        </is>
      </c>
      <c r="B25" s="3" t="inlineStr">
        <is>
          <t>Guida (questo foglio)</t>
        </is>
      </c>
    </row>
    <row r="26">
      <c r="A26" s="4" t="inlineStr">
        <is>
          <t>01_Catalogo_Prezzi</t>
        </is>
      </c>
      <c r="B26" s="3" t="inlineStr">
        <is>
          <t>Catalogo voci + descrizioni + prezzi (foglio principale)</t>
        </is>
      </c>
    </row>
    <row r="27">
      <c r="A27" s="4" t="inlineStr">
        <is>
          <t>02_Pacchetto_Consigliato</t>
        </is>
      </c>
      <c r="B27" s="3" t="inlineStr">
        <is>
          <t>Configurazione raccomandata + add-on opzionali + investimento primo anno</t>
        </is>
      </c>
    </row>
    <row r="28">
      <c r="A28" s="4" t="inlineStr">
        <is>
          <t>03_Sconti_Bundle</t>
        </is>
      </c>
      <c r="B28" s="3" t="inlineStr">
        <is>
          <t>Logica sconti bundle e lock-in continuativi</t>
        </is>
      </c>
    </row>
    <row r="29">
      <c r="A29" s="2" t="inlineStr"/>
      <c r="B29" s="3" t="inlineStr"/>
    </row>
    <row r="30">
      <c r="A30" s="5" t="inlineStr">
        <is>
          <t>DISCLAIMER</t>
        </is>
      </c>
      <c r="B30" s="3" t="inlineStr"/>
    </row>
    <row r="31">
      <c r="A31" s="4" t="inlineStr">
        <is>
          <t>Importi</t>
        </is>
      </c>
      <c r="B31" s="3" t="inlineStr">
        <is>
          <t>Tutti i prezzi sono netti IVA esclusa</t>
        </is>
      </c>
    </row>
    <row r="32">
      <c r="A32" s="4" t="inlineStr">
        <is>
          <t>Pricing</t>
        </is>
      </c>
      <c r="B32" s="3" t="inlineStr">
        <is>
          <t>Working draft · da validare con cliente dopo la call congiunta</t>
        </is>
      </c>
    </row>
    <row r="33">
      <c r="A33" s="4" t="inlineStr">
        <is>
          <t>Budget media</t>
        </is>
      </c>
      <c r="B33" s="3" t="inlineStr">
        <is>
          <t>Eventuali campagne paid sono a carico diretto del cliente (es. LinkedIn Ads)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55" customWidth="1" min="3" max="3"/>
    <col width="18" customWidth="1" min="4" max="4"/>
    <col width="18" customWidth="1" min="5" max="5"/>
    <col width="45" customWidth="1" min="6" max="6"/>
  </cols>
  <sheetData>
    <row r="1" ht="28" customHeight="1">
      <c r="A1" s="1" t="inlineStr">
        <is>
          <t>Catalogo Servizi — voci, descrizione, prezzi</t>
        </is>
      </c>
    </row>
    <row r="2">
      <c r="A2" s="6" t="inlineStr">
        <is>
          <t>Legenda: ● core · ○ opzionale · ⚐ raccomandazione team · valori editoriali concordati con FuturItaly</t>
        </is>
      </c>
    </row>
    <row r="4" ht="32" customHeight="1">
      <c r="A4" s="7" t="inlineStr"/>
      <c r="B4" s="7" t="inlineStr">
        <is>
          <t>Voce</t>
        </is>
      </c>
      <c r="C4" s="7" t="inlineStr">
        <is>
          <t>Cosa include</t>
        </is>
      </c>
      <c r="D4" s="7" t="inlineStr">
        <is>
          <t>Tipologia</t>
        </is>
      </c>
      <c r="E4" s="7" t="inlineStr">
        <is>
          <t>Prezzo</t>
        </is>
      </c>
      <c r="F4" s="7" t="inlineStr">
        <is>
          <t>Note / Raccomandazioni</t>
        </is>
      </c>
    </row>
    <row r="5" ht="24" customHeight="1">
      <c r="A5" s="8" t="inlineStr">
        <is>
          <t>SITO WEB</t>
        </is>
      </c>
    </row>
    <row r="6">
      <c r="A6" s="9" t="inlineStr">
        <is>
          <t>⚐</t>
        </is>
      </c>
      <c r="B6" s="10" t="inlineStr">
        <is>
          <t>Riallineamento sito attuale</t>
        </is>
      </c>
      <c r="C6" s="11" t="inlineStr">
        <is>
          <t>Refresh visivo · cambio copy minimo · cambio foto · 1-2 sezioni nuove</t>
        </is>
      </c>
      <c r="D6" s="12" t="inlineStr">
        <is>
          <t>Progetto</t>
        </is>
      </c>
      <c r="E6" s="13" t="n">
        <v>6000</v>
      </c>
      <c r="F6" s="14" t="inlineStr">
        <is>
          <t>Raccomandiamo di NON acquistare e partire direttamente con il sito completo (il mockup è già navigabile)</t>
        </is>
      </c>
    </row>
    <row r="7">
      <c r="A7" s="15" t="inlineStr">
        <is>
          <t>●</t>
        </is>
      </c>
      <c r="B7" s="10" t="inlineStr">
        <is>
          <t>Sito web pubblico nuovo (Fase 2)</t>
        </is>
      </c>
      <c r="C7" s="11" t="inlineStr">
        <is>
          <t>17 route · 5 percorsi (Talent · Researcher · HR&amp;B · Imprese · Media) · MBA Gateway · Engaged Research preview · Founder Stories · Blog · Eventi · Press · Chi Siamo · Contatti · Form base · CMS dedicato · bilinguismo IT/EN · GDPR · hosting produzione · QA · handover</t>
        </is>
      </c>
      <c r="D7" s="12" t="inlineStr">
        <is>
          <t>Progetto · 2-3 mesi</t>
        </is>
      </c>
      <c r="E7" s="13" t="n">
        <v>22000</v>
      </c>
      <c r="F7" s="14" t="inlineStr">
        <is>
          <t>Nucleo del pacchetto · base architetturale su cui si appoggiano gli add-on</t>
        </is>
      </c>
    </row>
    <row r="8">
      <c r="A8" s="15" t="inlineStr">
        <is>
          <t>●</t>
        </is>
      </c>
      <c r="B8" s="10" t="inlineStr">
        <is>
          <t>Studio strategico Customer Journey + analisi mercato</t>
        </is>
      </c>
      <c r="C8" s="11" t="inlineStr">
        <is>
          <t>Analisi 5 personas approfondita · journey mapping per persona · analisi mercato a supporto · documento strategico</t>
        </is>
      </c>
      <c r="D8" s="12" t="inlineStr">
        <is>
          <t>Progetto · pre-Fase 2</t>
        </is>
      </c>
      <c r="E8" s="13" t="n">
        <v>4000</v>
      </c>
      <c r="F8" s="14" t="inlineStr">
        <is>
          <t>Prerequisito raccomandato per dare basi solide a contenuti, CTA, architettura</t>
        </is>
      </c>
    </row>
    <row r="9">
      <c r="A9" s="15" t="inlineStr">
        <is>
          <t>●</t>
        </is>
      </c>
      <c r="B9" s="10" t="inlineStr">
        <is>
          <t>Area Riservata Semplice (interni)</t>
        </is>
      </c>
      <c r="C9" s="11" t="inlineStr">
        <is>
          <t>Login dipendenti Gruppo · area unica senza differenziazione per utente · sezioni statiche post-login</t>
        </is>
      </c>
      <c r="D9" s="12" t="inlineStr">
        <is>
          <t>Progetto · F2</t>
        </is>
      </c>
      <c r="E9" s="13" t="n">
        <v>4500</v>
      </c>
      <c r="F9" s="14" t="inlineStr">
        <is>
          <t>Versione base nel core</t>
        </is>
      </c>
    </row>
    <row r="10">
      <c r="A10" s="15" t="inlineStr">
        <is>
          <t>●</t>
        </is>
      </c>
      <c r="B10" s="10" t="inlineStr">
        <is>
          <t>Community Engaged Network</t>
        </is>
      </c>
      <c r="C10" s="11" t="inlineStr">
        <is>
          <t>3 feature MVP: Paper Discussion Threads + Position Paper drafting + Career Path Tracker · Hub editoriale community-only · riuso auth da Area Riservata · include caricamento contenuti editoriali fino a 2/mese</t>
        </is>
      </c>
      <c r="D10" s="12" t="inlineStr">
        <is>
          <t>Progetto · F3 Q1 2027</t>
        </is>
      </c>
      <c r="E10" s="13" t="n">
        <v>15000</v>
      </c>
      <c r="F10" s="14" t="inlineStr">
        <is>
          <t>Volumi pubblicazione superiori (&gt;2/mese) sono on-demand</t>
        </is>
      </c>
    </row>
    <row r="11">
      <c r="A11" s="15" t="inlineStr">
        <is>
          <t>●</t>
        </is>
      </c>
      <c r="B11" s="10" t="inlineStr">
        <is>
          <t>Analytics setup GA4 + Plausible</t>
        </is>
      </c>
      <c r="C11" s="11" t="inlineStr">
        <is>
          <t>Setup tecnico GA4 + Plausible · eventi conversion · funnel tracking · dashboard segmentato per persona</t>
        </is>
      </c>
      <c r="D11" s="12" t="inlineStr">
        <is>
          <t>Add-on tecnico</t>
        </is>
      </c>
      <c r="E11" s="13" t="n">
        <v>3000</v>
      </c>
      <c r="F11" s="14" t="inlineStr">
        <is>
          <t>Soluzione standard nel core · alternativa premium = Dashboard custom (vedi opzionali)</t>
        </is>
      </c>
    </row>
    <row r="13" ht="24" customHeight="1">
      <c r="A13" s="8" t="inlineStr">
        <is>
          <t>ADD-ON OPZIONALI SITO</t>
        </is>
      </c>
    </row>
    <row r="14">
      <c r="A14" s="16" t="inlineStr">
        <is>
          <t>○</t>
        </is>
      </c>
      <c r="B14" s="10" t="inlineStr">
        <is>
          <t>4 MVP Intelligenza Artificiale</t>
        </is>
      </c>
      <c r="C14" s="11" t="inlineStr">
        <is>
          <t>Agente unico con knowledge base diverse: Tutor (contenuti Academy) + Reading Room (paper Engaged Research) + Career Path Navigator + Research Engine MVP</t>
        </is>
      </c>
      <c r="D14" s="12" t="inlineStr">
        <is>
          <t>Add-on F2</t>
        </is>
      </c>
      <c r="E14" s="13" t="n">
        <v>12000</v>
      </c>
      <c r="F14" s="14" t="inlineStr">
        <is>
          <t>Posizionato come MVP iterabili · valutare con cliente</t>
        </is>
      </c>
    </row>
    <row r="15">
      <c r="A15" s="16" t="inlineStr">
        <is>
          <t>○</t>
        </is>
      </c>
      <c r="B15" s="10" t="inlineStr">
        <is>
          <t>Area Riservata Avanzata (upgrade)</t>
        </is>
      </c>
      <c r="C15" s="11" t="inlineStr">
        <is>
          <t>Login singolo utente · Personal Learning Record per dipendente (track corsi · progressi · suggerimenti) · sub-aree dedicate</t>
        </is>
      </c>
      <c r="D15" s="12" t="inlineStr">
        <is>
          <t>Add-on F2 · upgrade da Semplice</t>
        </is>
      </c>
      <c r="E15" s="13" t="n">
        <v>11000</v>
      </c>
      <c r="F15" s="14" t="inlineStr">
        <is>
          <t>Solo se cliente vuole personalizzazione per singolo dipendente</t>
        </is>
      </c>
    </row>
    <row r="16">
      <c r="A16" s="16" t="inlineStr">
        <is>
          <t>○</t>
        </is>
      </c>
      <c r="B16" s="10" t="inlineStr">
        <is>
          <t>Dashboard Analytics custom proprietaria</t>
        </is>
      </c>
      <c r="C16" s="11" t="inlineStr">
        <is>
          <t>Dashboard interna custom su dati nativi sito · metriche audience · conversione per persona · alternativa a GA4 standard</t>
        </is>
      </c>
      <c r="D16" s="12" t="inlineStr">
        <is>
          <t>Add-on F2</t>
        </is>
      </c>
      <c r="E16" s="13" t="n">
        <v>4500</v>
      </c>
      <c r="F16" s="14" t="inlineStr">
        <is>
          <t>Alternativa premium a GA4 · da valutare con cliente</t>
        </is>
      </c>
    </row>
    <row r="17">
      <c r="A17" s="16" t="inlineStr">
        <is>
          <t>○</t>
        </is>
      </c>
      <c r="B17" s="10" t="inlineStr">
        <is>
          <t>Landing eventi pubblici</t>
        </is>
      </c>
      <c r="C17" s="11" t="inlineStr">
        <is>
          <t>Per evento: design landing dedicata · form registrazione · esperienza interattiva · lead capture</t>
        </is>
      </c>
      <c r="D17" s="12" t="inlineStr">
        <is>
          <t>On-demand · per landing</t>
        </is>
      </c>
      <c r="E17" s="17" t="inlineStr">
        <is>
          <t>5.000-10.000 cad</t>
        </is>
      </c>
      <c r="F17" s="14" t="inlineStr">
        <is>
          <t>Da valutare con cliente in base al numero di eventi previsti</t>
        </is>
      </c>
    </row>
    <row r="18">
      <c r="A18" s="16" t="inlineStr">
        <is>
          <t>○</t>
        </is>
      </c>
      <c r="B18" s="10" t="inlineStr">
        <is>
          <t>Landing eventi interni</t>
        </is>
      </c>
      <c r="C18" s="11" t="inlineStr">
        <is>
          <t>Stessa logica delle pubbliche · richiede Area Riservata attivata</t>
        </is>
      </c>
      <c r="D18" s="12" t="inlineStr">
        <is>
          <t>On-demand · per landing</t>
        </is>
      </c>
      <c r="E18" s="17" t="inlineStr">
        <is>
          <t>5.000-10.000 cad</t>
        </is>
      </c>
      <c r="F18" s="14" t="inlineStr">
        <is>
          <t>Da valutare con cliente · richiede Area Riservata</t>
        </is>
      </c>
    </row>
    <row r="19">
      <c r="A19" s="16" t="inlineStr">
        <is>
          <t>○</t>
        </is>
      </c>
      <c r="B19" s="10" t="inlineStr">
        <is>
          <t>SEO avanzata + topic authority</t>
        </is>
      </c>
      <c r="C19" s="11" t="inlineStr">
        <is>
          <t>15 keyword priority mappate · long-tail dominance pedagogia/edTech · schema markup avanzato · content brief per autori</t>
        </is>
      </c>
      <c r="D19" s="12" t="inlineStr">
        <is>
          <t>Add-on una tantum</t>
        </is>
      </c>
      <c r="E19" s="13" t="n">
        <v>5000</v>
      </c>
      <c r="F19" s="14" t="inlineStr">
        <is>
          <t>Va oltre la SEO base inclusa nel sito</t>
        </is>
      </c>
    </row>
    <row r="20">
      <c r="A20" s="16" t="inlineStr">
        <is>
          <t>○</t>
        </is>
      </c>
      <c r="B20" s="10" t="inlineStr">
        <is>
          <t>Integrazione tecnica email marketing</t>
        </is>
      </c>
      <c r="C20" s="11" t="inlineStr">
        <is>
          <t>Collegamento form sito → piattaforma email (Mailchimp/Brevo/HubSpot) · DNS records · NO setup campagne</t>
        </is>
      </c>
      <c r="D20" s="12" t="inlineStr">
        <is>
          <t>Add-on tecnico</t>
        </is>
      </c>
      <c r="E20" s="13" t="n">
        <v>2500</v>
      </c>
      <c r="F20" s="14" t="inlineStr">
        <is>
          <t>Solo collegamento tecnico · le campagne sono servizio separato</t>
        </is>
      </c>
    </row>
    <row r="21">
      <c r="A21" s="16" t="inlineStr">
        <is>
          <t>○</t>
        </is>
      </c>
      <c r="B21" s="10" t="inlineStr">
        <is>
          <t>Integrazione CRM</t>
        </is>
      </c>
      <c r="C21" s="11" t="inlineStr">
        <is>
          <t>Integrazione form sito → CRM cliente · lead scoring · routing automatico verso commerciale</t>
        </is>
      </c>
      <c r="D21" s="12" t="inlineStr">
        <is>
          <t>On-demand</t>
        </is>
      </c>
      <c r="E21" s="17" t="inlineStr">
        <is>
          <t>Su quotazione</t>
        </is>
      </c>
      <c r="F21" s="14" t="inlineStr">
        <is>
          <t>Sito già predisposto per accettare l'integrazione</t>
        </is>
      </c>
    </row>
    <row r="22">
      <c r="A22" s="16" t="inlineStr">
        <is>
          <t>○</t>
        </is>
      </c>
      <c r="B22" s="10" t="inlineStr">
        <is>
          <t>Gateway pagamento corsi</t>
        </is>
      </c>
      <c r="C22" s="11" t="inlineStr">
        <is>
          <t>Integrazione gateway (Stripe/PayPal) per acquisto online programmi formativi a pagamento</t>
        </is>
      </c>
      <c r="D22" s="12" t="inlineStr">
        <is>
          <t>On-demand</t>
        </is>
      </c>
      <c r="E22" s="17" t="inlineStr">
        <is>
          <t>Su quotazione</t>
        </is>
      </c>
      <c r="F22" s="14" t="inlineStr">
        <is>
          <t>Sito già predisposto · valutare in fase successiva post go-live</t>
        </is>
      </c>
    </row>
    <row r="24" ht="24" customHeight="1">
      <c r="A24" s="8" t="inlineStr">
        <is>
          <t>EDITORIALE &amp; CONTENT (gestione FuturItaly)</t>
        </is>
      </c>
    </row>
    <row r="25">
      <c r="A25" s="15" t="inlineStr">
        <is>
          <t>●</t>
        </is>
      </c>
      <c r="B25" s="10" t="inlineStr">
        <is>
          <t>Batch iniziale contenuti (workshop incluso)</t>
        </is>
      </c>
      <c r="C25" s="11" t="inlineStr">
        <is>
          <t>Workshop co-design con cliente · primi articoli/white paper · video pillole · sezioni sito associate</t>
        </is>
      </c>
      <c r="D25" s="12" t="inlineStr">
        <is>
          <t>Progetto una tantum</t>
        </is>
      </c>
      <c r="E25" s="17" t="inlineStr">
        <is>
          <t>Valore concordato con FuturItaly</t>
        </is>
      </c>
      <c r="F25" s="14" t="inlineStr">
        <is>
          <t>Scope: 5 articoli + 5 video pillole iniziali + workshop kick-off</t>
        </is>
      </c>
    </row>
    <row r="26">
      <c r="A26" s="15" t="inlineStr">
        <is>
          <t>●</t>
        </is>
      </c>
      <c r="B26" s="10" t="inlineStr">
        <is>
          <t>Hub editoriale &amp; Content Creation continuativo</t>
        </is>
      </c>
      <c r="C26" s="11" t="inlineStr">
        <is>
          <t>Produzione contenuti continuativa: 2 white paper light/mese + video pillole 10-30 sec associate · community comment associato · allineamento mensile con team Academy</t>
        </is>
      </c>
      <c r="D26" s="12" t="inlineStr">
        <is>
          <t>Canone mensile</t>
        </is>
      </c>
      <c r="E26" s="17" t="inlineStr">
        <is>
          <t>Valore concordato con FuturItaly</t>
        </is>
      </c>
      <c r="F26" s="14" t="inlineStr">
        <is>
          <t>Scope: 2 contenuti/mese · pubblicazione in community a cura HeyAI inclusa nel costo Community</t>
        </is>
      </c>
    </row>
    <row r="28" ht="24" customHeight="1">
      <c r="A28" s="8" t="inlineStr">
        <is>
          <t>SOCIAL &amp; EMAIL MARKETING</t>
        </is>
      </c>
    </row>
    <row r="29">
      <c r="A29" s="16" t="inlineStr">
        <is>
          <t>○</t>
        </is>
      </c>
      <c r="B29" s="10" t="inlineStr">
        <is>
          <t>Gestione LinkedIn Academy</t>
        </is>
      </c>
      <c r="C29" s="11" t="inlineStr">
        <is>
          <t>LinkedIn organic (4-8 post/mese) · LinkedIn paid setup + ottimizzazione · piano editoriale · visual social card · reporting mensile · NO community management</t>
        </is>
      </c>
      <c r="D29" s="12" t="inlineStr">
        <is>
          <t>Canone mensile · in aggiunta</t>
        </is>
      </c>
      <c r="E29" s="13" t="n">
        <v>4500</v>
      </c>
      <c r="F29" s="14" t="inlineStr">
        <is>
          <t>Budget media (LinkedIn Ads) a carico diretto del cliente · da valutare con cliente</t>
        </is>
      </c>
    </row>
    <row r="30">
      <c r="A30" s="16" t="inlineStr">
        <is>
          <t>○</t>
        </is>
      </c>
      <c r="B30" s="10" t="inlineStr">
        <is>
          <t>Email marketing — Setup</t>
        </is>
      </c>
      <c r="C30" s="11" t="inlineStr">
        <is>
          <t>Setup piattaforma · 5 segmentazioni personas · template email (newsletter + welcome drip) · 1-2 automation iniziali · training cliente</t>
        </is>
      </c>
      <c r="D30" s="12" t="inlineStr">
        <is>
          <t>Una tantum</t>
        </is>
      </c>
      <c r="E30" s="13" t="n">
        <v>1800</v>
      </c>
      <c r="F30" s="14" t="inlineStr">
        <is>
          <t>Fuori dal core · da valutare con cliente</t>
        </is>
      </c>
    </row>
    <row r="31">
      <c r="A31" s="16" t="inlineStr">
        <is>
          <t>○</t>
        </is>
      </c>
      <c r="B31" s="10" t="inlineStr">
        <is>
          <t>Email marketing — Continuativo</t>
        </is>
      </c>
      <c r="C31" s="11" t="inlineStr">
        <is>
          <t>Campagne segmentate per persona · drip · ottimizzazione · reporting</t>
        </is>
      </c>
      <c r="D31" s="12" t="inlineStr">
        <is>
          <t>Canone mensile</t>
        </is>
      </c>
      <c r="E31" s="13" t="n">
        <v>1500</v>
      </c>
      <c r="F31" s="14" t="inlineStr">
        <is>
          <t>Fuori dal core · da valutare con cliente</t>
        </is>
      </c>
    </row>
    <row r="33" ht="24" customHeight="1">
      <c r="A33" s="8" t="inlineStr">
        <is>
          <t>KIT COMUNICAZIONE ESTERNA (brief)</t>
        </is>
      </c>
    </row>
    <row r="34">
      <c r="A34" s="16" t="inlineStr">
        <is>
          <t>○</t>
        </is>
      </c>
      <c r="B34" s="10" t="inlineStr">
        <is>
          <t>Concept creativo video promozionale Academy</t>
        </is>
      </c>
      <c r="C34" s="11" t="inlineStr">
        <is>
          <t>Regia + storyboard · esecuzione esterna affidata a fornitore dedicato</t>
        </is>
      </c>
      <c r="D34" s="12" t="inlineStr">
        <is>
          <t>On-demand</t>
        </is>
      </c>
      <c r="E34" s="17" t="inlineStr">
        <is>
          <t>Su quotazione</t>
        </is>
      </c>
      <c r="F34" s="14" t="inlineStr">
        <is>
          <t>Nel brief gara · cliente potrebbe avere già fornitore dedicato · disponibili se serve</t>
        </is>
      </c>
    </row>
    <row r="35">
      <c r="A35" s="16" t="inlineStr">
        <is>
          <t>○</t>
        </is>
      </c>
      <c r="B35" s="10" t="inlineStr">
        <is>
          <t>Concept design brochure presentazione</t>
        </is>
      </c>
      <c r="C35" s="11" t="inlineStr">
        <is>
          <t>Layout + impostazione grafica · stampa esterna</t>
        </is>
      </c>
      <c r="D35" s="12" t="inlineStr">
        <is>
          <t>On-demand</t>
        </is>
      </c>
      <c r="E35" s="17" t="inlineStr">
        <is>
          <t>Su quotazione</t>
        </is>
      </c>
      <c r="F35" s="14" t="inlineStr">
        <is>
          <t>Nel brief gara · disponibili se serve</t>
        </is>
      </c>
    </row>
    <row r="36">
      <c r="A36" s="16" t="inlineStr">
        <is>
          <t>○</t>
        </is>
      </c>
      <c r="B36" s="10" t="inlineStr">
        <is>
          <t>Concept scouting gadget personalizzati</t>
        </is>
      </c>
      <c r="C36" s="11" t="inlineStr">
        <is>
          <t>Concept + scouting fornitori · produzione esterna</t>
        </is>
      </c>
      <c r="D36" s="12" t="inlineStr">
        <is>
          <t>On-demand</t>
        </is>
      </c>
      <c r="E36" s="17" t="inlineStr">
        <is>
          <t>Su quotazione</t>
        </is>
      </c>
      <c r="F36" s="14" t="inlineStr">
        <is>
          <t>Nel brief gara · disponibili se serve</t>
        </is>
      </c>
    </row>
  </sheetData>
  <mergeCells count="5">
    <mergeCell ref="A24:F24"/>
    <mergeCell ref="A33:F33"/>
    <mergeCell ref="A28:F28"/>
    <mergeCell ref="A13:F13"/>
    <mergeCell ref="A5:F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9"/>
  <sheetViews>
    <sheetView showGridLines="0" workbookViewId="0">
      <selection activeCell="A1" sqref="A1"/>
    </sheetView>
  </sheetViews>
  <sheetFormatPr baseColWidth="8" defaultRowHeight="15"/>
  <cols>
    <col width="50" customWidth="1" min="1" max="1"/>
    <col width="18" customWidth="1" min="2" max="2"/>
    <col width="20" customWidth="1" min="3" max="3"/>
    <col width="45" customWidth="1" min="4" max="4"/>
  </cols>
  <sheetData>
    <row r="1" ht="28" customHeight="1">
      <c r="A1" s="1" t="inlineStr">
        <is>
          <t>Configurazione raccomandata + Add-on opzionali</t>
        </is>
      </c>
    </row>
    <row r="2">
      <c r="A2" s="6" t="inlineStr">
        <is>
          <t>Configurazione consigliata dal team HeyAI per Angelini Academy · cliente decide il livello finale</t>
        </is>
      </c>
    </row>
    <row r="4">
      <c r="A4" s="18" t="inlineStr">
        <is>
          <t>Razionale della configurazione raccomandata</t>
        </is>
      </c>
    </row>
    <row r="5" ht="38" customHeight="1">
      <c r="A5" s="3" t="inlineStr">
        <is>
          <t>Abbiamo strutturato la configurazione raccomandata per coprire le 3 priorità chiave del brief gara di Angelini Academy: il sito web come ecosistema unitario e navigabile, una community per alumni e ricercatori partner, e una baseline analitica per misurare l'efficacia delle iniziative.</t>
        </is>
      </c>
    </row>
    <row r="6" ht="30" customHeight="1">
      <c r="A6" s="3" t="inlineStr">
        <is>
          <t>Gli add-on opzionali sono attivabili al bisogno, mantenendo al cliente piena flessibilità sul livello di investimento e sulle tempistiche di attivazione.</t>
        </is>
      </c>
    </row>
    <row r="8" ht="24" customHeight="1">
      <c r="A8" s="8" t="inlineStr">
        <is>
          <t>Configurazione raccomandata dal team HeyAI per Angelini Academy</t>
        </is>
      </c>
    </row>
    <row r="9" ht="32" customHeight="1">
      <c r="A9" s="7" t="inlineStr">
        <is>
          <t>Voce</t>
        </is>
      </c>
      <c r="B9" s="7" t="inlineStr">
        <is>
          <t>Tipologia</t>
        </is>
      </c>
      <c r="C9" s="7" t="inlineStr">
        <is>
          <t>Prezzo</t>
        </is>
      </c>
      <c r="D9" s="7" t="inlineStr">
        <is>
          <t>Note</t>
        </is>
      </c>
    </row>
    <row r="10">
      <c r="A10" s="19" t="inlineStr">
        <is>
          <t>Sito web pubblico nuovo (Fase 2)</t>
        </is>
      </c>
      <c r="B10" s="20" t="inlineStr">
        <is>
          <t>Progetto</t>
        </is>
      </c>
      <c r="C10" s="13" t="n">
        <v>22000</v>
      </c>
      <c r="D10" s="21" t="inlineStr">
        <is>
          <t>Architettura base completa</t>
        </is>
      </c>
    </row>
    <row r="11">
      <c r="A11" s="19" t="inlineStr">
        <is>
          <t>Studio strategico Customer Journey + analisi mercato</t>
        </is>
      </c>
      <c r="B11" s="20" t="inlineStr">
        <is>
          <t>Pre-Fase 2</t>
        </is>
      </c>
      <c r="C11" s="13" t="n">
        <v>4000</v>
      </c>
      <c r="D11" s="21" t="inlineStr">
        <is>
          <t>Prerequisito raccomandato</t>
        </is>
      </c>
    </row>
    <row r="12">
      <c r="A12" s="19" t="inlineStr">
        <is>
          <t>Area Riservata Semplice (interni)</t>
        </is>
      </c>
      <c r="B12" s="20" t="inlineStr">
        <is>
          <t>F2</t>
        </is>
      </c>
      <c r="C12" s="13" t="n">
        <v>4500</v>
      </c>
      <c r="D12" s="21" t="inlineStr">
        <is>
          <t>Login dipendenti · area unica</t>
        </is>
      </c>
    </row>
    <row r="13">
      <c r="A13" s="19" t="inlineStr">
        <is>
          <t>Community Engaged Network</t>
        </is>
      </c>
      <c r="B13" s="20" t="inlineStr">
        <is>
          <t>F3 Q1 2027</t>
        </is>
      </c>
      <c r="C13" s="13" t="n">
        <v>15000</v>
      </c>
      <c r="D13" s="21" t="inlineStr">
        <is>
          <t>3 feature MVP + Hub community-only + caricamento contenuti incluso</t>
        </is>
      </c>
    </row>
    <row r="14">
      <c r="A14" s="19" t="inlineStr">
        <is>
          <t>Analytics setup GA4 + Plausible</t>
        </is>
      </c>
      <c r="B14" s="20" t="inlineStr">
        <is>
          <t>Tecnico</t>
        </is>
      </c>
      <c r="C14" s="13" t="n">
        <v>3000</v>
      </c>
      <c r="D14" s="21" t="inlineStr">
        <is>
          <t>Standard nel core</t>
        </is>
      </c>
    </row>
    <row r="15">
      <c r="A15" s="22" t="inlineStr">
        <is>
          <t>Totale configurazione raccomandata</t>
        </is>
      </c>
      <c r="B15" s="23" t="n"/>
      <c r="C15" s="24">
        <f>SUM(C10:C14)</f>
        <v/>
      </c>
      <c r="D15" s="25" t="n"/>
    </row>
    <row r="17" ht="24" customHeight="1">
      <c r="A17" s="8" t="inlineStr">
        <is>
          <t>Add-on opzionali · da valutare con cliente</t>
        </is>
      </c>
    </row>
    <row r="18" ht="32" customHeight="1">
      <c r="A18" s="7" t="inlineStr">
        <is>
          <t>Voce</t>
        </is>
      </c>
      <c r="B18" s="7" t="inlineStr">
        <is>
          <t>Tipologia</t>
        </is>
      </c>
      <c r="C18" s="7" t="inlineStr">
        <is>
          <t>Prezzo</t>
        </is>
      </c>
      <c r="D18" s="7" t="inlineStr">
        <is>
          <t>Note</t>
        </is>
      </c>
    </row>
    <row r="19">
      <c r="A19" s="19" t="inlineStr">
        <is>
          <t>4 MVP Intelligenza Artificiale</t>
        </is>
      </c>
      <c r="B19" s="20" t="inlineStr">
        <is>
          <t>Add-on F2</t>
        </is>
      </c>
      <c r="C19" s="26" t="n">
        <v>12000</v>
      </c>
      <c r="D19" s="21" t="inlineStr">
        <is>
          <t>Caterina poco convinta · MVP iterabili</t>
        </is>
      </c>
    </row>
    <row r="20">
      <c r="A20" s="19" t="inlineStr">
        <is>
          <t>Area Riservata Avanzata (upgrade)</t>
        </is>
      </c>
      <c r="B20" s="20" t="inlineStr">
        <is>
          <t>Add-on F2</t>
        </is>
      </c>
      <c r="C20" s="26" t="n">
        <v>11000</v>
      </c>
      <c r="D20" s="21" t="inlineStr">
        <is>
          <t>Solo se serve personalizzazione per singolo utente</t>
        </is>
      </c>
    </row>
    <row r="21">
      <c r="A21" s="19" t="inlineStr">
        <is>
          <t>Dashboard Analytics custom proprietaria</t>
        </is>
      </c>
      <c r="B21" s="20" t="inlineStr">
        <is>
          <t>Add-on F2</t>
        </is>
      </c>
      <c r="C21" s="26" t="n">
        <v>4500</v>
      </c>
      <c r="D21" s="21" t="inlineStr">
        <is>
          <t>Alternativa premium a GA4 standard</t>
        </is>
      </c>
    </row>
    <row r="22">
      <c r="A22" s="19" t="inlineStr">
        <is>
          <t>SEO avanzata + topic authority</t>
        </is>
      </c>
      <c r="B22" s="20" t="inlineStr">
        <is>
          <t>Add-on una tantum</t>
        </is>
      </c>
      <c r="C22" s="26" t="n">
        <v>5000</v>
      </c>
      <c r="D22" s="21" t="inlineStr"/>
    </row>
    <row r="23">
      <c r="A23" s="19" t="inlineStr">
        <is>
          <t>Integrazione tecnica email marketing</t>
        </is>
      </c>
      <c r="B23" s="20" t="inlineStr">
        <is>
          <t>Add-on tecnico</t>
        </is>
      </c>
      <c r="C23" s="26" t="n">
        <v>2500</v>
      </c>
      <c r="D23" s="21" t="inlineStr">
        <is>
          <t>Solo collegamento</t>
        </is>
      </c>
    </row>
    <row r="24">
      <c r="A24" s="19" t="inlineStr">
        <is>
          <t>Email marketing — Setup</t>
        </is>
      </c>
      <c r="B24" s="20" t="inlineStr">
        <is>
          <t>Una tantum</t>
        </is>
      </c>
      <c r="C24" s="26" t="n">
        <v>1800</v>
      </c>
      <c r="D24" s="21" t="inlineStr"/>
    </row>
    <row r="25">
      <c r="A25" s="19" t="inlineStr">
        <is>
          <t>Gestione LinkedIn Academy (canone)</t>
        </is>
      </c>
      <c r="B25" s="20" t="inlineStr">
        <is>
          <t>Mensile</t>
        </is>
      </c>
      <c r="C25" s="27" t="n">
        <v>4500</v>
      </c>
      <c r="D25" s="21" t="inlineStr">
        <is>
          <t>Budget media a carico cliente</t>
        </is>
      </c>
    </row>
    <row r="26">
      <c r="A26" s="19" t="inlineStr">
        <is>
          <t>Email marketing — Continuativo (canone)</t>
        </is>
      </c>
      <c r="B26" s="20" t="inlineStr">
        <is>
          <t>Mensile</t>
        </is>
      </c>
      <c r="C26" s="27" t="n">
        <v>1500</v>
      </c>
      <c r="D26" s="21" t="inlineStr"/>
    </row>
    <row r="27">
      <c r="A27" s="28" t="inlineStr">
        <is>
          <t>Totale add-on una tantum (no canoni)</t>
        </is>
      </c>
      <c r="B27" s="23" t="n"/>
      <c r="C27" s="29">
        <f>C19+C20+C21+C22+C23+C24</f>
        <v/>
      </c>
      <c r="D27" s="30" t="n"/>
    </row>
    <row r="28">
      <c r="A28" s="28" t="inlineStr">
        <is>
          <t>Canoni mensili add-on (LinkedIn + Email continuativo)</t>
        </is>
      </c>
      <c r="B28" s="23" t="n"/>
      <c r="C28" s="31">
        <f>C25+C26</f>
        <v/>
      </c>
      <c r="D28" s="30" t="n"/>
    </row>
    <row r="30" ht="24" customHeight="1">
      <c r="A30" s="8" t="inlineStr">
        <is>
          <t>Totale completo se attivato tutto</t>
        </is>
      </c>
    </row>
    <row r="31">
      <c r="A31" s="22" t="inlineStr">
        <is>
          <t>Totale una tantum (Configurazione raccomandata + tutti gli add-on)</t>
        </is>
      </c>
      <c r="B31" s="23" t="n"/>
      <c r="C31" s="24">
        <f>C15+C27</f>
        <v/>
      </c>
      <c r="D31" s="25" t="n"/>
    </row>
    <row r="32">
      <c r="A32" s="32" t="inlineStr">
        <is>
          <t>+ canoni mensili (LinkedIn + Email) se attivati</t>
        </is>
      </c>
      <c r="B32" s="23" t="n"/>
      <c r="C32" s="33">
        <f>C28</f>
        <v/>
      </c>
      <c r="D32" s="23" t="n"/>
    </row>
    <row r="33">
      <c r="A33" s="34" t="inlineStr">
        <is>
          <t>Investimento primo anno completo (una tantum + canoni × 12 mesi)</t>
        </is>
      </c>
      <c r="B33" s="23" t="n"/>
      <c r="C33" s="35">
        <f>C31+C28*12</f>
        <v/>
      </c>
      <c r="D33" s="36" t="inlineStr">
        <is>
          <t>se cliente attiva tutto + 12 mesi canoni</t>
        </is>
      </c>
    </row>
    <row r="35" ht="24" customHeight="1">
      <c r="A35" s="8" t="inlineStr">
        <is>
          <t>Voci non quotate · gestione separata</t>
        </is>
      </c>
    </row>
    <row r="36">
      <c r="A36" s="19" t="inlineStr">
        <is>
          <t>Batch iniziale contenuti + Hub editoriale continuativo</t>
        </is>
      </c>
      <c r="B36" s="21" t="inlineStr">
        <is>
          <t>Gestione FuturItaly · valore concordato con loro</t>
        </is>
      </c>
      <c r="C36" s="23" t="n"/>
      <c r="D36" s="23" t="n"/>
    </row>
    <row r="37">
      <c r="A37" s="19" t="inlineStr">
        <is>
          <t>Integrazione CRM + Gateway pagamento corsi</t>
        </is>
      </c>
      <c r="B37" s="21" t="inlineStr">
        <is>
          <t>Su quotazione su richiesta · sito predisposto per accettarli</t>
        </is>
      </c>
      <c r="C37" s="23" t="n"/>
      <c r="D37" s="23" t="n"/>
    </row>
    <row r="38">
      <c r="A38" s="19" t="inlineStr">
        <is>
          <t>Concept video promo + Brochure + Gadget</t>
        </is>
      </c>
      <c r="B38" s="21" t="inlineStr">
        <is>
          <t>Citate nel brief ma non richieste a noi · disponibili su quotazione se serve</t>
        </is>
      </c>
      <c r="C38" s="23" t="n"/>
      <c r="D38" s="23" t="n"/>
    </row>
    <row r="39">
      <c r="A39" s="19" t="inlineStr">
        <is>
          <t>Riallineamento sito attuale</t>
        </is>
      </c>
      <c r="B39" s="21" t="inlineStr">
        <is>
          <t>Sconsigliato · raccomandiamo di partire direttamente con il sito completo</t>
        </is>
      </c>
      <c r="C39" s="23" t="n"/>
      <c r="D39" s="23" t="n"/>
    </row>
  </sheetData>
  <mergeCells count="17">
    <mergeCell ref="A5:D5"/>
    <mergeCell ref="A17:D17"/>
    <mergeCell ref="B36:D36"/>
    <mergeCell ref="A8:D8"/>
    <mergeCell ref="A15:B15"/>
    <mergeCell ref="A6:D6"/>
    <mergeCell ref="B37:D37"/>
    <mergeCell ref="A35:D35"/>
    <mergeCell ref="A4:D4"/>
    <mergeCell ref="A33:B33"/>
    <mergeCell ref="A30:D30"/>
    <mergeCell ref="A28:B28"/>
    <mergeCell ref="A32:B32"/>
    <mergeCell ref="B39:D39"/>
    <mergeCell ref="A27:B27"/>
    <mergeCell ref="A31:B31"/>
    <mergeCell ref="B38:D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4"/>
  <sheetViews>
    <sheetView showGridLines="0" workbookViewId="0">
      <selection activeCell="A1" sqref="A1"/>
    </sheetView>
  </sheetViews>
  <sheetFormatPr baseColWidth="8" defaultRowHeight="15"/>
  <cols>
    <col width="35" customWidth="1" min="1" max="1"/>
    <col width="30" customWidth="1" min="2" max="2"/>
    <col width="50" customWidth="1" min="3" max="3"/>
  </cols>
  <sheetData>
    <row r="1" ht="28" customHeight="1">
      <c r="A1" s="1" t="inlineStr">
        <is>
          <t>Logica sconti bundle e lock-in continuativi</t>
        </is>
      </c>
    </row>
    <row r="3">
      <c r="A3" s="6" t="inlineStr">
        <is>
          <t>Per cliente che firma più voci insieme o impegno continuativo lungo, applichiamo sconti progressivi.</t>
        </is>
      </c>
    </row>
    <row r="5" ht="24" customHeight="1">
      <c r="A5" s="8" t="inlineStr">
        <is>
          <t>SCONTI BUNDLE PER VOLUME DI ADD-ON</t>
        </is>
      </c>
    </row>
    <row r="6" ht="32" customHeight="1">
      <c r="A6" s="7" t="inlineStr">
        <is>
          <t>Numero add-on acquistati</t>
        </is>
      </c>
      <c r="B6" s="7" t="inlineStr">
        <is>
          <t>Sconto applicato</t>
        </is>
      </c>
      <c r="C6" s="7" t="inlineStr">
        <is>
          <t>Esempio</t>
        </is>
      </c>
    </row>
    <row r="7">
      <c r="A7" s="37" t="inlineStr">
        <is>
          <t>1-2 add-on</t>
        </is>
      </c>
      <c r="B7" s="38" t="inlineStr">
        <is>
          <t>Nessuno</t>
        </is>
      </c>
      <c r="C7" s="39" t="inlineStr">
        <is>
          <t>Add-on a prezzo pieno</t>
        </is>
      </c>
    </row>
    <row r="8">
      <c r="A8" s="37" t="inlineStr">
        <is>
          <t>3 add-on</t>
        </is>
      </c>
      <c r="B8" s="38" t="inlineStr">
        <is>
          <t>−5%</t>
        </is>
      </c>
      <c r="C8" s="39" t="inlineStr">
        <is>
          <t>Sconto applicato su tutti gli add-on scelti</t>
        </is>
      </c>
    </row>
    <row r="9">
      <c r="A9" s="37" t="inlineStr">
        <is>
          <t>4+ add-on</t>
        </is>
      </c>
      <c r="B9" s="38" t="inlineStr">
        <is>
          <t>−10%</t>
        </is>
      </c>
      <c r="C9" s="39" t="inlineStr">
        <is>
          <t>Sconto applicato su tutti gli add-on scelti</t>
        </is>
      </c>
    </row>
    <row r="10">
      <c r="A10" s="37" t="inlineStr">
        <is>
          <t>Tutti gli add-on</t>
        </is>
      </c>
      <c r="B10" s="38" t="inlineStr">
        <is>
          <t>−15%</t>
        </is>
      </c>
      <c r="C10" s="39" t="inlineStr">
        <is>
          <t>Bundle ecosistema completo</t>
        </is>
      </c>
    </row>
    <row r="13" ht="24" customHeight="1">
      <c r="A13" s="8" t="inlineStr">
        <is>
          <t>SCONTI LOCK-IN CANONI CONTINUATIVI</t>
        </is>
      </c>
    </row>
    <row r="14" ht="32" customHeight="1">
      <c r="A14" s="7" t="inlineStr">
        <is>
          <t>Durata impegno</t>
        </is>
      </c>
      <c r="B14" s="7" t="inlineStr">
        <is>
          <t>Sconto sul canone mensile</t>
        </is>
      </c>
      <c r="C14" s="7" t="inlineStr">
        <is>
          <t>Note</t>
        </is>
      </c>
    </row>
    <row r="15">
      <c r="A15" s="37" t="inlineStr">
        <is>
          <t>6 mesi (min raccomandato)</t>
        </is>
      </c>
      <c r="B15" s="38" t="inlineStr">
        <is>
          <t>Nessuno</t>
        </is>
      </c>
      <c r="C15" s="39" t="inlineStr">
        <is>
          <t>Vincolo minimo</t>
        </is>
      </c>
    </row>
    <row r="16">
      <c r="A16" s="37" t="inlineStr">
        <is>
          <t>12 mesi</t>
        </is>
      </c>
      <c r="B16" s="38" t="inlineStr">
        <is>
          <t>−5%</t>
        </is>
      </c>
      <c r="C16" s="39" t="inlineStr">
        <is>
          <t>Impegno annuale</t>
        </is>
      </c>
    </row>
    <row r="17">
      <c r="A17" s="37" t="inlineStr">
        <is>
          <t>24 mesi</t>
        </is>
      </c>
      <c r="B17" s="38" t="inlineStr">
        <is>
          <t>−10%</t>
        </is>
      </c>
      <c r="C17" s="39" t="inlineStr">
        <is>
          <t>Impegno biennale</t>
        </is>
      </c>
    </row>
    <row r="20" ht="24" customHeight="1">
      <c r="A20" s="8" t="inlineStr">
        <is>
          <t>MODELLO COMMERCIALE</t>
        </is>
      </c>
    </row>
    <row r="21">
      <c r="A21" s="40" t="inlineStr">
        <is>
          <t>Sito Fase 2</t>
        </is>
      </c>
      <c r="B21" s="19" t="inlineStr">
        <is>
          <t>Pagamento in 3 tranche: 35% kickoff + 30% MVP + 35% delivery</t>
        </is>
      </c>
      <c r="C21" s="23" t="n"/>
    </row>
    <row r="22">
      <c r="A22" s="40" t="inlineStr">
        <is>
          <t>Add-on una tantum</t>
        </is>
      </c>
      <c r="B22" s="19" t="inlineStr">
        <is>
          <t>Fatturati al go-live dell'add-on stesso</t>
        </is>
      </c>
      <c r="C22" s="23" t="n"/>
    </row>
    <row r="23">
      <c r="A23" s="40" t="inlineStr">
        <is>
          <t>Canoni continuativi mensili</t>
        </is>
      </c>
      <c r="B23" s="19" t="inlineStr">
        <is>
          <t>Fatturazione mensile anticipata · termini 30 gg</t>
        </is>
      </c>
      <c r="C23" s="23" t="n"/>
    </row>
    <row r="24">
      <c r="A24" s="40" t="inlineStr">
        <is>
          <t>Validità offerta</t>
        </is>
      </c>
      <c r="B24" s="19" t="inlineStr">
        <is>
          <t>30 giorni dalla data di emissione</t>
        </is>
      </c>
      <c r="C24" s="23" t="n"/>
    </row>
  </sheetData>
  <mergeCells count="7">
    <mergeCell ref="B21:C21"/>
    <mergeCell ref="A13:C13"/>
    <mergeCell ref="B24:C24"/>
    <mergeCell ref="A5:C5"/>
    <mergeCell ref="B23:C23"/>
    <mergeCell ref="B22:C22"/>
    <mergeCell ref="A20:C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2026-05-27T17:29:21Z</dcterms:created>
  <dcterms:modified xsi:type="dcterms:W3CDTF">2026-05-27T17:29:21Z</dcterms:modified>
</cp:coreProperties>
</file>